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d.docs.live.net/67e23d5d6b590326/Desktop/BUSINESS DRAFT Basics/"/>
    </mc:Choice>
  </mc:AlternateContent>
  <xr:revisionPtr revIDLastSave="139" documentId="8_{E9477158-762F-4BC5-BEC6-10DB5C2E88AC}" xr6:coauthVersionLast="47" xr6:coauthVersionMax="47" xr10:uidLastSave="{43DBE1A1-7286-44C2-9769-882919A71EBD}"/>
  <bookViews>
    <workbookView xWindow="29685" yWindow="645" windowWidth="22215" windowHeight="13230" xr2:uid="{00000000-000D-0000-FFFF-FFFF00000000}"/>
  </bookViews>
  <sheets>
    <sheet name="Cashflow Foreca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1XSTbl9aJriFH35uoPiVutu05zYgtgkVqEHsbBIgzos="/>
    </ext>
  </extLst>
</workbook>
</file>

<file path=xl/calcChain.xml><?xml version="1.0" encoding="utf-8"?>
<calcChain xmlns="http://schemas.openxmlformats.org/spreadsheetml/2006/main">
  <c r="X52" i="1" l="1"/>
  <c r="V52" i="1"/>
  <c r="T52" i="1"/>
  <c r="R52" i="1"/>
  <c r="P52" i="1"/>
  <c r="N52" i="1"/>
  <c r="L52" i="1"/>
  <c r="J52" i="1"/>
  <c r="H52" i="1"/>
  <c r="F52" i="1"/>
  <c r="D52" i="1"/>
  <c r="AA42" i="1"/>
  <c r="AA44" i="1" s="1"/>
  <c r="Z9" i="1"/>
  <c r="Z10" i="1"/>
  <c r="Z11" i="1"/>
  <c r="AA19" i="1"/>
  <c r="AA20" i="1"/>
  <c r="AA10" i="1"/>
  <c r="AA11" i="1"/>
  <c r="AA12" i="1"/>
  <c r="C39" i="1"/>
  <c r="D39" i="1"/>
  <c r="E39" i="1"/>
  <c r="E49" i="1" s="1"/>
  <c r="G39" i="1"/>
  <c r="I39" i="1"/>
  <c r="K39" i="1"/>
  <c r="M39" i="1"/>
  <c r="O39" i="1"/>
  <c r="Q39" i="1"/>
  <c r="S39" i="1"/>
  <c r="U39" i="1"/>
  <c r="U49" i="1" s="1"/>
  <c r="W39" i="1"/>
  <c r="Y39" i="1"/>
  <c r="B39" i="1"/>
  <c r="B49" i="1" s="1"/>
  <c r="Z43" i="1"/>
  <c r="AA22" i="1"/>
  <c r="AA56" i="1"/>
  <c r="AA53" i="1"/>
  <c r="AA52" i="1"/>
  <c r="B52" i="1"/>
  <c r="Z52" i="1" s="1"/>
  <c r="AA51" i="1"/>
  <c r="Y44" i="1"/>
  <c r="W44" i="1"/>
  <c r="U44" i="1"/>
  <c r="S44" i="1"/>
  <c r="Q44" i="1"/>
  <c r="O44" i="1"/>
  <c r="M44" i="1"/>
  <c r="K44" i="1"/>
  <c r="K46" i="1" s="1"/>
  <c r="I44" i="1"/>
  <c r="G44" i="1"/>
  <c r="E44" i="1"/>
  <c r="C44" i="1"/>
  <c r="B44" i="1"/>
  <c r="AA43" i="1"/>
  <c r="F44" i="1"/>
  <c r="Y49" i="1"/>
  <c r="W49" i="1"/>
  <c r="S49" i="1"/>
  <c r="Q49" i="1"/>
  <c r="O49" i="1"/>
  <c r="M49" i="1"/>
  <c r="K49" i="1"/>
  <c r="I49" i="1"/>
  <c r="G49" i="1"/>
  <c r="C4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39" i="1" s="1"/>
  <c r="AA25" i="1"/>
  <c r="AA24" i="1"/>
  <c r="AA23" i="1"/>
  <c r="X19" i="1"/>
  <c r="T19" i="1"/>
  <c r="AA18" i="1"/>
  <c r="Z18" i="1"/>
  <c r="AA17" i="1"/>
  <c r="Z17" i="1"/>
  <c r="AA16" i="1"/>
  <c r="Z16" i="1"/>
  <c r="X12" i="1"/>
  <c r="X20" i="1" s="1"/>
  <c r="V12" i="1"/>
  <c r="V19" i="1" s="1"/>
  <c r="T12" i="1"/>
  <c r="T20" i="1" s="1"/>
  <c r="R12" i="1"/>
  <c r="R20" i="1" s="1"/>
  <c r="P12" i="1"/>
  <c r="P20" i="1" s="1"/>
  <c r="N12" i="1"/>
  <c r="N20" i="1" s="1"/>
  <c r="L12" i="1"/>
  <c r="L20" i="1" s="1"/>
  <c r="J12" i="1"/>
  <c r="J20" i="1" s="1"/>
  <c r="H12" i="1"/>
  <c r="H19" i="1" s="1"/>
  <c r="F12" i="1"/>
  <c r="F19" i="1" s="1"/>
  <c r="D12" i="1"/>
  <c r="B12" i="1"/>
  <c r="AA9" i="1"/>
  <c r="D20" i="1" l="1"/>
  <c r="D19" i="1"/>
  <c r="B20" i="1"/>
  <c r="B19" i="1"/>
  <c r="F39" i="1"/>
  <c r="Z12" i="1"/>
  <c r="Z19" i="1" s="1"/>
  <c r="M46" i="1"/>
  <c r="M59" i="1" s="1"/>
  <c r="C46" i="1"/>
  <c r="C57" i="1" s="1"/>
  <c r="S46" i="1"/>
  <c r="S59" i="1" s="1"/>
  <c r="E46" i="1"/>
  <c r="E57" i="1" s="1"/>
  <c r="U46" i="1"/>
  <c r="U59" i="1" s="1"/>
  <c r="H20" i="1"/>
  <c r="K59" i="1"/>
  <c r="L19" i="1"/>
  <c r="G46" i="1"/>
  <c r="G59" i="1" s="1"/>
  <c r="W46" i="1"/>
  <c r="W57" i="1" s="1"/>
  <c r="P19" i="1"/>
  <c r="V20" i="1"/>
  <c r="AA49" i="1"/>
  <c r="F20" i="1"/>
  <c r="D49" i="1"/>
  <c r="D50" i="1" s="1"/>
  <c r="O46" i="1"/>
  <c r="O59" i="1" s="1"/>
  <c r="B46" i="1"/>
  <c r="B57" i="1" s="1"/>
  <c r="H44" i="1"/>
  <c r="R51" i="1"/>
  <c r="T51" i="1" s="1"/>
  <c r="V51" i="1" s="1"/>
  <c r="X51" i="1" s="1"/>
  <c r="E59" i="1"/>
  <c r="F49" i="1"/>
  <c r="F50" i="1" s="1"/>
  <c r="H39" i="1"/>
  <c r="I50" i="1"/>
  <c r="I54" i="1" s="1"/>
  <c r="Y50" i="1"/>
  <c r="Y54" i="1" s="1"/>
  <c r="Q50" i="1"/>
  <c r="Q54" i="1" s="1"/>
  <c r="B50" i="1"/>
  <c r="J19" i="1"/>
  <c r="R19" i="1"/>
  <c r="C50" i="1"/>
  <c r="C54" i="1" s="1"/>
  <c r="K50" i="1"/>
  <c r="K54" i="1" s="1"/>
  <c r="K55" i="1" s="1"/>
  <c r="S50" i="1"/>
  <c r="S54" i="1" s="1"/>
  <c r="S55" i="1" s="1"/>
  <c r="Z53" i="1"/>
  <c r="K57" i="1"/>
  <c r="M50" i="1"/>
  <c r="M54" i="1" s="1"/>
  <c r="U50" i="1"/>
  <c r="U54" i="1" s="1"/>
  <c r="U55" i="1" s="1"/>
  <c r="D44" i="1"/>
  <c r="I46" i="1"/>
  <c r="I57" i="1" s="1"/>
  <c r="Q46" i="1"/>
  <c r="Y46" i="1"/>
  <c r="E50" i="1"/>
  <c r="E54" i="1" s="1"/>
  <c r="E55" i="1" s="1"/>
  <c r="N19" i="1"/>
  <c r="G50" i="1"/>
  <c r="G54" i="1" s="1"/>
  <c r="O50" i="1"/>
  <c r="O54" i="1" s="1"/>
  <c r="W50" i="1"/>
  <c r="W54" i="1" s="1"/>
  <c r="Z20" i="1" l="1"/>
  <c r="AA50" i="1"/>
  <c r="O57" i="1"/>
  <c r="M57" i="1"/>
  <c r="M55" i="1"/>
  <c r="W59" i="1"/>
  <c r="W55" i="1"/>
  <c r="S57" i="1"/>
  <c r="O55" i="1"/>
  <c r="G57" i="1"/>
  <c r="C59" i="1"/>
  <c r="C63" i="1" s="1"/>
  <c r="E61" i="1" s="1"/>
  <c r="E63" i="1" s="1"/>
  <c r="G61" i="1" s="1"/>
  <c r="G63" i="1" s="1"/>
  <c r="I61" i="1" s="1"/>
  <c r="G55" i="1"/>
  <c r="U57" i="1"/>
  <c r="D46" i="1"/>
  <c r="D55" i="1" s="1"/>
  <c r="B54" i="1"/>
  <c r="B55" i="1" s="1"/>
  <c r="B59" i="1" s="1"/>
  <c r="B63" i="1" s="1"/>
  <c r="D61" i="1" s="1"/>
  <c r="AA46" i="1"/>
  <c r="AA59" i="1" s="1"/>
  <c r="F46" i="1"/>
  <c r="F57" i="1" s="1"/>
  <c r="AA54" i="1"/>
  <c r="C55" i="1"/>
  <c r="Q55" i="1"/>
  <c r="I59" i="1"/>
  <c r="J39" i="1"/>
  <c r="H49" i="1"/>
  <c r="L44" i="1"/>
  <c r="Y55" i="1"/>
  <c r="F54" i="1"/>
  <c r="Q59" i="1"/>
  <c r="Y59" i="1"/>
  <c r="I55" i="1"/>
  <c r="J44" i="1"/>
  <c r="Y57" i="1"/>
  <c r="Q57" i="1"/>
  <c r="Z51" i="1"/>
  <c r="AA55" i="1" l="1"/>
  <c r="D57" i="1"/>
  <c r="D59" i="1"/>
  <c r="D63" i="1" s="1"/>
  <c r="F61" i="1" s="1"/>
  <c r="I63" i="1"/>
  <c r="K61" i="1" s="1"/>
  <c r="K63" i="1" s="1"/>
  <c r="M61" i="1" s="1"/>
  <c r="M63" i="1" s="1"/>
  <c r="O61" i="1" s="1"/>
  <c r="O63" i="1" s="1"/>
  <c r="Q61" i="1" s="1"/>
  <c r="Q63" i="1" s="1"/>
  <c r="S61" i="1" s="1"/>
  <c r="S63" i="1" s="1"/>
  <c r="U61" i="1" s="1"/>
  <c r="U63" i="1" s="1"/>
  <c r="W61" i="1" s="1"/>
  <c r="W63" i="1" s="1"/>
  <c r="Y61" i="1" s="1"/>
  <c r="Y63" i="1" s="1"/>
  <c r="AA61" i="1" s="1"/>
  <c r="AA63" i="1" s="1"/>
  <c r="AA57" i="1"/>
  <c r="F59" i="1"/>
  <c r="H46" i="1"/>
  <c r="H59" i="1" s="1"/>
  <c r="F55" i="1"/>
  <c r="J49" i="1"/>
  <c r="L39" i="1"/>
  <c r="P44" i="1"/>
  <c r="N44" i="1"/>
  <c r="H50" i="1"/>
  <c r="H54" i="1" s="1"/>
  <c r="H55" i="1" s="1"/>
  <c r="H57" i="1" l="1"/>
  <c r="F63" i="1"/>
  <c r="H61" i="1" s="1"/>
  <c r="H63" i="1" s="1"/>
  <c r="J61" i="1" s="1"/>
  <c r="J46" i="1"/>
  <c r="J57" i="1" s="1"/>
  <c r="N39" i="1"/>
  <c r="X42" i="1"/>
  <c r="X44" i="1" s="1"/>
  <c r="T44" i="1"/>
  <c r="Z42" i="1"/>
  <c r="R44" i="1"/>
  <c r="J50" i="1"/>
  <c r="J54" i="1" s="1"/>
  <c r="J59" i="1" l="1"/>
  <c r="J63" i="1" s="1"/>
  <c r="L61" i="1" s="1"/>
  <c r="J55" i="1"/>
  <c r="L49" i="1"/>
  <c r="L46" i="1"/>
  <c r="P39" i="1"/>
  <c r="V44" i="1"/>
  <c r="Z44" i="1"/>
  <c r="L59" i="1" l="1"/>
  <c r="L63" i="1" s="1"/>
  <c r="N61" i="1" s="1"/>
  <c r="L57" i="1"/>
  <c r="L50" i="1"/>
  <c r="L54" i="1" s="1"/>
  <c r="L55" i="1" s="1"/>
  <c r="N49" i="1"/>
  <c r="N46" i="1"/>
  <c r="R39" i="1"/>
  <c r="N50" i="1" l="1"/>
  <c r="N54" i="1" s="1"/>
  <c r="N55" i="1" s="1"/>
  <c r="P49" i="1"/>
  <c r="P46" i="1"/>
  <c r="N59" i="1"/>
  <c r="N63" i="1" s="1"/>
  <c r="P61" i="1" s="1"/>
  <c r="N57" i="1"/>
  <c r="T39" i="1"/>
  <c r="P59" i="1" l="1"/>
  <c r="P63" i="1" s="1"/>
  <c r="R61" i="1" s="1"/>
  <c r="P57" i="1"/>
  <c r="P50" i="1"/>
  <c r="P54" i="1" s="1"/>
  <c r="P55" i="1" s="1"/>
  <c r="R49" i="1"/>
  <c r="R46" i="1"/>
  <c r="V39" i="1"/>
  <c r="R50" i="1" l="1"/>
  <c r="R54" i="1" s="1"/>
  <c r="R55" i="1" s="1"/>
  <c r="T49" i="1"/>
  <c r="T46" i="1"/>
  <c r="R59" i="1"/>
  <c r="R63" i="1" s="1"/>
  <c r="T61" i="1" s="1"/>
  <c r="R57" i="1"/>
  <c r="X39" i="1"/>
  <c r="Z39" i="1"/>
  <c r="T59" i="1" l="1"/>
  <c r="T63" i="1" s="1"/>
  <c r="V61" i="1" s="1"/>
  <c r="T57" i="1"/>
  <c r="T50" i="1"/>
  <c r="T54" i="1" s="1"/>
  <c r="T55" i="1" s="1"/>
  <c r="Z49" i="1"/>
  <c r="Z46" i="1"/>
  <c r="X49" i="1"/>
  <c r="X46" i="1"/>
  <c r="V49" i="1"/>
  <c r="V46" i="1"/>
  <c r="Z59" i="1" l="1"/>
  <c r="Z57" i="1"/>
  <c r="V57" i="1"/>
  <c r="V59" i="1"/>
  <c r="V63" i="1" s="1"/>
  <c r="X61" i="1" s="1"/>
  <c r="Z50" i="1"/>
  <c r="Z54" i="1" s="1"/>
  <c r="Z55" i="1" s="1"/>
  <c r="V50" i="1"/>
  <c r="V54" i="1" s="1"/>
  <c r="V55" i="1" s="1"/>
  <c r="X59" i="1"/>
  <c r="X57" i="1"/>
  <c r="X50" i="1"/>
  <c r="X54" i="1" s="1"/>
  <c r="X55" i="1" s="1"/>
  <c r="X63" i="1" l="1"/>
  <c r="Z61" i="1" s="1"/>
  <c r="Z63" i="1" s="1"/>
</calcChain>
</file>

<file path=xl/sharedStrings.xml><?xml version="1.0" encoding="utf-8"?>
<sst xmlns="http://schemas.openxmlformats.org/spreadsheetml/2006/main" count="88" uniqueCount="64">
  <si>
    <t>Ahmad Azizi</t>
  </si>
  <si>
    <t xml:space="preserve">Cashflow Forecast 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</si>
  <si>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</si>
  <si>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</si>
  <si>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</si>
  <si>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</si>
  <si>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</si>
  <si>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</si>
  <si>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</si>
  <si>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</si>
  <si>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</si>
  <si>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</si>
  <si>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</si>
  <si>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</si>
  <si>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</si>
  <si>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Expected</t>
  </si>
  <si>
    <t>Actual</t>
  </si>
  <si>
    <t>RECEIPTS</t>
  </si>
  <si>
    <t>Sales</t>
  </si>
  <si>
    <t>Sales - Other</t>
  </si>
  <si>
    <t>Flexi-Wage</t>
  </si>
  <si>
    <t>Total</t>
  </si>
  <si>
    <t>Other Receipts</t>
  </si>
  <si>
    <t>Govt.Grant</t>
  </si>
  <si>
    <r>
      <rPr>
        <sz val="12"/>
        <color rgb="FF000000"/>
        <rFont val="Arial Narrow"/>
      </rPr>
      <t>Other Income -</t>
    </r>
    <r>
      <rPr>
        <sz val="8"/>
        <color rgb="FF000000"/>
        <rFont val="Arial Narrow"/>
      </rPr>
      <t xml:space="preserve"> EG: CS + WFF</t>
    </r>
  </si>
  <si>
    <t>Other Reciepts</t>
  </si>
  <si>
    <t>GST received</t>
  </si>
  <si>
    <t>(A) Total Receipts</t>
  </si>
  <si>
    <t>LESS CASH PAYMENTS</t>
  </si>
  <si>
    <t>COG - Materials purchased</t>
  </si>
  <si>
    <t>IT &amp; Internet (50% in Personal)</t>
  </si>
  <si>
    <t>General Maintenance and Repairs</t>
  </si>
  <si>
    <t>Health &amp; Safety</t>
  </si>
  <si>
    <t>Accountancy and Bookkeeping</t>
  </si>
  <si>
    <t>Training and Development</t>
  </si>
  <si>
    <t>Professional Subscriptions</t>
  </si>
  <si>
    <t>Ingoing COG set-up costs</t>
  </si>
  <si>
    <t>Motor Vehicle Expenses (25%)</t>
  </si>
  <si>
    <t>Insurance (1st year in Grant)</t>
  </si>
  <si>
    <t>MV Insurance (1sy year in Grant)</t>
  </si>
  <si>
    <t>Marketing and Promotion</t>
  </si>
  <si>
    <t>Cost of Goods - Materials &amp; Stock</t>
  </si>
  <si>
    <t>Overheads (Rent, Power)</t>
  </si>
  <si>
    <t>Repayment of Loans - Car</t>
  </si>
  <si>
    <t>Staff Wages and Salaries (N/A)</t>
  </si>
  <si>
    <t>Other payments</t>
  </si>
  <si>
    <t>(B) Sub-Total Expenses</t>
  </si>
  <si>
    <t>Items Below - Non GST</t>
  </si>
  <si>
    <t>Bank and Merchant Fees</t>
  </si>
  <si>
    <t>Other</t>
  </si>
  <si>
    <t>Sub- total Non GST Expenses</t>
  </si>
  <si>
    <t>(C) Total Expenses</t>
  </si>
  <si>
    <t>(D) Other Payments</t>
  </si>
  <si>
    <t>GST Paid</t>
  </si>
  <si>
    <t>Net GST Payable to IRD</t>
  </si>
  <si>
    <t>Drawings - Personal</t>
  </si>
  <si>
    <t>Savings for Income tax payments</t>
  </si>
  <si>
    <t>Savings for ACC Levy Costs</t>
  </si>
  <si>
    <t>Total - Other Payments</t>
  </si>
  <si>
    <t>(E)  Total Payments</t>
  </si>
  <si>
    <t>Total Profit for the Month</t>
  </si>
  <si>
    <t>(E)  Net Cashflow (A-E)</t>
  </si>
  <si>
    <t>(F) Opening Bank Balance</t>
  </si>
  <si>
    <t>Closing bank balance (E+F)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</si>
</sst>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1409]#,##0"/>
    <numFmt numFmtId="165" formatCode="&quot;$&quot;#,##0"/>
  </numFmts>
  <fonts count="18">
    <font>
      <sz val="11"/>
      <color theme="1"/>
      <name val="Arial Narrow"/>
      <scheme val="minor"/>
    </font>
    <font>
      <sz val="11"/>
      <color theme="1"/>
      <name val="Arial Narrow"/>
    </font>
    <font>
      <sz val="28"/>
      <color theme="1"/>
      <name val="Arial Black"/>
    </font>
    <font>
      <b/>
      <sz val="14"/>
      <color theme="0"/>
      <name val="Arial Narrow"/>
    </font>
    <font>
      <sz val="11"/>
      <name val="Arial Narrow"/>
    </font>
    <font>
      <sz val="10"/>
      <color theme="0"/>
      <name val="Arial Narrow"/>
    </font>
    <font>
      <b/>
      <sz val="8"/>
      <color theme="1"/>
      <name val="Arial Narrow"/>
    </font>
    <font>
      <sz val="8"/>
      <color theme="1"/>
      <name val="Arial Narrow"/>
    </font>
    <font>
      <sz val="12"/>
      <color rgb="FF000000"/>
      <name val="Arial Narrow"/>
    </font>
    <font>
      <sz val="12"/>
      <color theme="1"/>
      <name val="Arial Narrow"/>
    </font>
    <font>
      <b/>
      <sz val="12"/>
      <color rgb="FF000000"/>
      <name val="Arial Narrow"/>
    </font>
    <font>
      <b/>
      <sz val="12"/>
      <color theme="1"/>
      <name val="Arial Narrow"/>
    </font>
    <font>
      <sz val="8"/>
      <color theme="0"/>
      <name val="Arial Narrow"/>
    </font>
    <font>
      <sz val="11"/>
      <color rgb="FF000000"/>
      <name val="Arial Narrow"/>
    </font>
    <font>
      <b/>
      <sz val="11"/>
      <color rgb="FF000000"/>
      <name val="Arial Narrow"/>
    </font>
    <font>
      <b/>
      <sz val="11"/>
      <color theme="1"/>
      <name val="Arial Narrow"/>
    </font>
    <font>
      <sz val="8"/>
      <color rgb="FF000000"/>
      <name val="Arial Narrow"/>
    </font>
    <font>
      <sz val="16"/>
      <color theme="6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5D5D5"/>
        <bgColor rgb="FFD5D5D5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DCDADA"/>
        <bgColor rgb="FFDCDADA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4" borderId="2" xfId="0" applyFont="1" applyFill="1" applyBorder="1" applyAlignment="1">
      <alignment vertical="center" wrapText="1"/>
    </xf>
    <xf numFmtId="0" fontId="3" fillId="4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 vertical="top"/>
    </xf>
    <xf numFmtId="0" fontId="3" fillId="7" borderId="1" xfId="0" applyFont="1" applyFill="1" applyBorder="1"/>
    <xf numFmtId="0" fontId="7" fillId="5" borderId="1" xfId="0" applyFont="1" applyFill="1" applyBorder="1"/>
    <xf numFmtId="0" fontId="8" fillId="0" borderId="5" xfId="0" applyFont="1" applyBorder="1"/>
    <xf numFmtId="164" fontId="9" fillId="0" borderId="5" xfId="0" applyNumberFormat="1" applyFont="1" applyBorder="1"/>
    <xf numFmtId="165" fontId="9" fillId="0" borderId="5" xfId="0" applyNumberFormat="1" applyFont="1" applyBorder="1"/>
    <xf numFmtId="164" fontId="9" fillId="8" borderId="5" xfId="0" applyNumberFormat="1" applyFont="1" applyFill="1" applyBorder="1"/>
    <xf numFmtId="0" fontId="8" fillId="5" borderId="5" xfId="0" applyFont="1" applyFill="1" applyBorder="1"/>
    <xf numFmtId="164" fontId="9" fillId="6" borderId="5" xfId="0" applyNumberFormat="1" applyFont="1" applyFill="1" applyBorder="1"/>
    <xf numFmtId="164" fontId="9" fillId="5" borderId="5" xfId="0" applyNumberFormat="1" applyFont="1" applyFill="1" applyBorder="1"/>
    <xf numFmtId="0" fontId="10" fillId="5" borderId="5" xfId="0" applyFont="1" applyFill="1" applyBorder="1" applyAlignment="1">
      <alignment horizontal="right"/>
    </xf>
    <xf numFmtId="164" fontId="9" fillId="5" borderId="1" xfId="0" applyNumberFormat="1" applyFont="1" applyFill="1" applyBorder="1"/>
    <xf numFmtId="0" fontId="10" fillId="0" borderId="5" xfId="0" applyFont="1" applyBorder="1"/>
    <xf numFmtId="0" fontId="1" fillId="0" borderId="5" xfId="0" applyFont="1" applyBorder="1"/>
    <xf numFmtId="0" fontId="1" fillId="2" borderId="5" xfId="0" applyFont="1" applyFill="1" applyBorder="1"/>
    <xf numFmtId="165" fontId="9" fillId="9" borderId="5" xfId="0" applyNumberFormat="1" applyFont="1" applyFill="1" applyBorder="1"/>
    <xf numFmtId="164" fontId="9" fillId="0" borderId="6" xfId="0" applyNumberFormat="1" applyFont="1" applyBorder="1"/>
    <xf numFmtId="0" fontId="10" fillId="3" borderId="5" xfId="0" applyFont="1" applyFill="1" applyBorder="1"/>
    <xf numFmtId="164" fontId="11" fillId="9" borderId="5" xfId="0" applyNumberFormat="1" applyFont="1" applyFill="1" applyBorder="1"/>
    <xf numFmtId="0" fontId="3" fillId="10" borderId="7" xfId="0" applyFont="1" applyFill="1" applyBorder="1"/>
    <xf numFmtId="0" fontId="12" fillId="5" borderId="5" xfId="0" applyFont="1" applyFill="1" applyBorder="1"/>
    <xf numFmtId="0" fontId="7" fillId="5" borderId="5" xfId="0" applyFont="1" applyFill="1" applyBorder="1"/>
    <xf numFmtId="0" fontId="9" fillId="0" borderId="5" xfId="0" applyFont="1" applyBorder="1"/>
    <xf numFmtId="0" fontId="13" fillId="0" borderId="5" xfId="0" applyFont="1" applyBorder="1"/>
    <xf numFmtId="164" fontId="1" fillId="2" borderId="5" xfId="0" applyNumberFormat="1" applyFont="1" applyFill="1" applyBorder="1"/>
    <xf numFmtId="164" fontId="1" fillId="11" borderId="5" xfId="0" applyNumberFormat="1" applyFont="1" applyFill="1" applyBorder="1"/>
    <xf numFmtId="164" fontId="1" fillId="8" borderId="5" xfId="0" applyNumberFormat="1" applyFont="1" applyFill="1" applyBorder="1"/>
    <xf numFmtId="164" fontId="9" fillId="11" borderId="5" xfId="0" applyNumberFormat="1" applyFont="1" applyFill="1" applyBorder="1"/>
    <xf numFmtId="0" fontId="13" fillId="5" borderId="5" xfId="0" applyFont="1" applyFill="1" applyBorder="1"/>
    <xf numFmtId="164" fontId="1" fillId="5" borderId="5" xfId="0" applyNumberFormat="1" applyFont="1" applyFill="1" applyBorder="1"/>
    <xf numFmtId="164" fontId="1" fillId="0" borderId="5" xfId="0" applyNumberFormat="1" applyFont="1" applyBorder="1"/>
    <xf numFmtId="165" fontId="9" fillId="3" borderId="5" xfId="0" applyNumberFormat="1" applyFont="1" applyFill="1" applyBorder="1"/>
    <xf numFmtId="0" fontId="14" fillId="3" borderId="5" xfId="0" applyFont="1" applyFill="1" applyBorder="1"/>
    <xf numFmtId="164" fontId="15" fillId="0" borderId="5" xfId="0" applyNumberFormat="1" applyFont="1" applyBorder="1"/>
    <xf numFmtId="0" fontId="14" fillId="0" borderId="5" xfId="0" applyFont="1" applyBorder="1"/>
    <xf numFmtId="164" fontId="1" fillId="3" borderId="5" xfId="0" applyNumberFormat="1" applyFont="1" applyFill="1" applyBorder="1"/>
    <xf numFmtId="164" fontId="15" fillId="3" borderId="5" xfId="0" applyNumberFormat="1" applyFont="1" applyFill="1" applyBorder="1"/>
    <xf numFmtId="164" fontId="15" fillId="9" borderId="5" xfId="0" applyNumberFormat="1" applyFont="1" applyFill="1" applyBorder="1"/>
    <xf numFmtId="0" fontId="14" fillId="0" borderId="5" xfId="0" applyFont="1" applyBorder="1" applyAlignment="1">
      <alignment horizontal="left"/>
    </xf>
    <xf numFmtId="164" fontId="15" fillId="5" borderId="5" xfId="0" applyNumberFormat="1" applyFont="1" applyFill="1" applyBorder="1"/>
    <xf numFmtId="164" fontId="15" fillId="11" borderId="5" xfId="0" applyNumberFormat="1" applyFont="1" applyFill="1" applyBorder="1"/>
    <xf numFmtId="0" fontId="14" fillId="0" borderId="5" xfId="0" applyFont="1" applyBorder="1" applyAlignment="1">
      <alignment horizontal="right"/>
    </xf>
    <xf numFmtId="164" fontId="1" fillId="6" borderId="5" xfId="0" applyNumberFormat="1" applyFont="1" applyFill="1" applyBorder="1"/>
    <xf numFmtId="0" fontId="14" fillId="5" borderId="5" xfId="0" applyFont="1" applyFill="1" applyBorder="1" applyAlignment="1">
      <alignment horizontal="right"/>
    </xf>
    <xf numFmtId="164" fontId="11" fillId="11" borderId="5" xfId="0" applyNumberFormat="1" applyFont="1" applyFill="1" applyBorder="1"/>
    <xf numFmtId="0" fontId="13" fillId="5" borderId="1" xfId="0" applyFont="1" applyFill="1" applyBorder="1"/>
    <xf numFmtId="164" fontId="1" fillId="5" borderId="1" xfId="0" applyNumberFormat="1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9" fillId="5" borderId="1" xfId="0" applyFont="1" applyFill="1" applyBorder="1"/>
    <xf numFmtId="164" fontId="11" fillId="3" borderId="5" xfId="0" applyNumberFormat="1" applyFont="1" applyFill="1" applyBorder="1"/>
    <xf numFmtId="0" fontId="13" fillId="12" borderId="5" xfId="0" applyFont="1" applyFill="1" applyBorder="1"/>
    <xf numFmtId="0" fontId="8" fillId="12" borderId="5" xfId="0" applyFont="1" applyFill="1" applyBorder="1"/>
    <xf numFmtId="0" fontId="17" fillId="3" borderId="1" xfId="0" applyFont="1" applyFill="1" applyBorder="1"/>
    <xf numFmtId="164" fontId="9" fillId="5" borderId="6" xfId="0" applyNumberFormat="1" applyFont="1" applyFill="1" applyBorder="1"/>
    <xf numFmtId="164" fontId="9" fillId="12" borderId="5" xfId="0" applyNumberFormat="1" applyFont="1" applyFill="1" applyBorder="1"/>
    <xf numFmtId="164" fontId="1" fillId="12" borderId="5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F4C4C"/>
      </a:dk1>
      <a:lt1>
        <a:srgbClr val="FFFFFF"/>
      </a:lt1>
      <a:dk2>
        <a:srgbClr val="4F4C4C"/>
      </a:dk2>
      <a:lt2>
        <a:srgbClr val="FFFFFF"/>
      </a:lt2>
      <a:accent1>
        <a:srgbClr val="4F4C4C"/>
      </a:accent1>
      <a:accent2>
        <a:srgbClr val="01395E"/>
      </a:accent2>
      <a:accent3>
        <a:srgbClr val="00999E"/>
      </a:accent3>
      <a:accent4>
        <a:srgbClr val="D5D5D5"/>
      </a:accent4>
      <a:accent5>
        <a:srgbClr val="EE680F"/>
      </a:accent5>
      <a:accent6>
        <a:srgbClr val="FAB230"/>
      </a:accent6>
      <a:hlink>
        <a:srgbClr val="00999E"/>
      </a:hlink>
      <a:folHlink>
        <a:srgbClr val="00999E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1"/>
  <sheetViews>
    <sheetView tabSelected="1" topLeftCell="A43" workbookViewId="0">
      <selection activeCell="B59" sqref="B59"/>
    </sheetView>
  </sheetViews>
  <sheetFormatPr defaultColWidth="12.5703125" defaultRowHeight="15" customHeight="1"/>
  <cols>
    <col min="1" max="1" width="29.42578125" customWidth="1"/>
    <col min="2" max="25" width="8.7109375" customWidth="1"/>
    <col min="26" max="26" width="10" customWidth="1"/>
    <col min="27" max="27" width="12.5703125" customWidth="1"/>
    <col min="28" max="28" width="15.140625" customWidth="1"/>
  </cols>
  <sheetData>
    <row r="1" spans="1:28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4.5" customHeight="1">
      <c r="A3" s="61" t="s">
        <v>0</v>
      </c>
      <c r="B3" s="1"/>
      <c r="C3" s="2" t="s">
        <v>1</v>
      </c>
      <c r="D3" s="1"/>
      <c r="E3" s="1"/>
      <c r="F3" s="1"/>
      <c r="G3" s="1"/>
      <c r="H3" s="1"/>
      <c r="I3" s="1"/>
      <c r="J3" s="1"/>
      <c r="K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.75" customHeight="1">
      <c r="A5" s="3"/>
      <c r="B5" s="65" t="s">
        <v>2</v>
      </c>
      <c r="C5" s="66"/>
      <c r="D5" s="65" t="s">
        <v>3</v>
      </c>
      <c r="E5" s="66"/>
      <c r="F5" s="65" t="s">
        <v>4</v>
      </c>
      <c r="G5" s="66"/>
      <c r="H5" s="65" t="s">
        <v>5</v>
      </c>
      <c r="I5" s="66"/>
      <c r="J5" s="65" t="s">
        <v>6</v>
      </c>
      <c r="K5" s="66"/>
      <c r="L5" s="65" t="s">
        <v>7</v>
      </c>
      <c r="M5" s="66"/>
      <c r="N5" s="65" t="s">
        <v>8</v>
      </c>
      <c r="O5" s="66"/>
      <c r="P5" s="65" t="s">
        <v>9</v>
      </c>
      <c r="Q5" s="66"/>
      <c r="R5" s="65" t="s">
        <v>10</v>
      </c>
      <c r="S5" s="66"/>
      <c r="T5" s="65" t="s">
        <v>11</v>
      </c>
      <c r="U5" s="66"/>
      <c r="V5" s="65" t="s">
        <v>12</v>
      </c>
      <c r="W5" s="66"/>
      <c r="X5" s="65" t="s">
        <v>13</v>
      </c>
      <c r="Y5" s="66"/>
      <c r="Z5" s="4" t="s">
        <v>14</v>
      </c>
      <c r="AA5" s="4"/>
      <c r="AB5" s="1"/>
    </row>
    <row r="6" spans="1:28" ht="18" customHeight="1">
      <c r="A6" s="3"/>
      <c r="B6" s="5" t="s">
        <v>15</v>
      </c>
      <c r="C6" s="5" t="s">
        <v>16</v>
      </c>
      <c r="D6" s="5" t="s">
        <v>15</v>
      </c>
      <c r="E6" s="5" t="s">
        <v>16</v>
      </c>
      <c r="F6" s="5" t="s">
        <v>15</v>
      </c>
      <c r="G6" s="5" t="s">
        <v>16</v>
      </c>
      <c r="H6" s="5" t="s">
        <v>15</v>
      </c>
      <c r="I6" s="5" t="s">
        <v>16</v>
      </c>
      <c r="J6" s="5" t="s">
        <v>15</v>
      </c>
      <c r="K6" s="5" t="s">
        <v>16</v>
      </c>
      <c r="L6" s="5" t="s">
        <v>15</v>
      </c>
      <c r="M6" s="5" t="s">
        <v>16</v>
      </c>
      <c r="N6" s="5" t="s">
        <v>15</v>
      </c>
      <c r="O6" s="5" t="s">
        <v>16</v>
      </c>
      <c r="P6" s="5" t="s">
        <v>15</v>
      </c>
      <c r="Q6" s="5" t="s">
        <v>16</v>
      </c>
      <c r="R6" s="5" t="s">
        <v>15</v>
      </c>
      <c r="S6" s="5" t="s">
        <v>16</v>
      </c>
      <c r="T6" s="5" t="s">
        <v>15</v>
      </c>
      <c r="U6" s="5" t="s">
        <v>16</v>
      </c>
      <c r="V6" s="5" t="s">
        <v>15</v>
      </c>
      <c r="W6" s="5" t="s">
        <v>16</v>
      </c>
      <c r="X6" s="5" t="s">
        <v>15</v>
      </c>
      <c r="Y6" s="5" t="s">
        <v>16</v>
      </c>
      <c r="Z6" s="5" t="s">
        <v>15</v>
      </c>
      <c r="AA6" s="5" t="s">
        <v>16</v>
      </c>
      <c r="AB6" s="1"/>
    </row>
    <row r="7" spans="1:28" ht="16.5" customHeight="1">
      <c r="A7" s="6"/>
      <c r="B7" s="7"/>
      <c r="C7" s="8"/>
      <c r="D7" s="7"/>
      <c r="E7" s="8"/>
      <c r="F7" s="7"/>
      <c r="G7" s="8"/>
      <c r="H7" s="7"/>
      <c r="I7" s="8"/>
      <c r="J7" s="7"/>
      <c r="K7" s="8"/>
      <c r="L7" s="7"/>
      <c r="M7" s="8"/>
      <c r="N7" s="7"/>
      <c r="O7" s="8"/>
      <c r="P7" s="7"/>
      <c r="Q7" s="8"/>
      <c r="R7" s="7"/>
      <c r="S7" s="8"/>
      <c r="T7" s="7"/>
      <c r="U7" s="8"/>
      <c r="V7" s="7"/>
      <c r="W7" s="8"/>
      <c r="X7" s="7"/>
      <c r="Y7" s="8"/>
      <c r="Z7" s="1"/>
      <c r="AA7" s="1"/>
      <c r="AB7" s="1"/>
    </row>
    <row r="8" spans="1:28" ht="16.5" customHeight="1">
      <c r="A8" s="9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"/>
      <c r="AA8" s="1"/>
      <c r="AB8" s="1"/>
    </row>
    <row r="9" spans="1:28" ht="16.5" customHeight="1">
      <c r="A9" s="60" t="s">
        <v>18</v>
      </c>
      <c r="B9" s="63">
        <v>0</v>
      </c>
      <c r="C9" s="14"/>
      <c r="D9" s="12">
        <v>0</v>
      </c>
      <c r="E9" s="14"/>
      <c r="F9" s="12">
        <v>0</v>
      </c>
      <c r="G9" s="14"/>
      <c r="H9" s="12">
        <v>0</v>
      </c>
      <c r="I9" s="14"/>
      <c r="J9" s="12">
        <v>0</v>
      </c>
      <c r="K9" s="14"/>
      <c r="L9" s="12">
        <v>0</v>
      </c>
      <c r="M9" s="14"/>
      <c r="N9" s="12">
        <v>0</v>
      </c>
      <c r="O9" s="14"/>
      <c r="P9" s="12">
        <v>0</v>
      </c>
      <c r="Q9" s="14"/>
      <c r="R9" s="12">
        <v>0</v>
      </c>
      <c r="S9" s="14"/>
      <c r="T9" s="12">
        <v>0</v>
      </c>
      <c r="U9" s="14"/>
      <c r="V9" s="12">
        <v>0</v>
      </c>
      <c r="W9" s="14"/>
      <c r="X9" s="12">
        <v>0</v>
      </c>
      <c r="Y9" s="14"/>
      <c r="Z9" s="13">
        <f t="shared" ref="Z9:Z10" si="0">SUM(B9,D9,F9,H9,J9,L9,N9,P9,R9,T9,V9,X9)</f>
        <v>0</v>
      </c>
      <c r="AA9" s="14">
        <f t="shared" ref="AA9:AA12" si="1">SUM(C9,E9,G9,I9,K9,M9,O9,Q9,S9,U9,W9,Y9)</f>
        <v>0</v>
      </c>
      <c r="AB9" s="1"/>
    </row>
    <row r="10" spans="1:28" ht="16.5" customHeight="1">
      <c r="A10" s="11" t="s">
        <v>19</v>
      </c>
      <c r="B10" s="12">
        <v>0</v>
      </c>
      <c r="C10" s="14"/>
      <c r="D10" s="12">
        <v>0</v>
      </c>
      <c r="E10" s="14"/>
      <c r="F10" s="12">
        <v>0</v>
      </c>
      <c r="G10" s="14"/>
      <c r="H10" s="12">
        <v>0</v>
      </c>
      <c r="I10" s="14"/>
      <c r="J10" s="12">
        <v>0</v>
      </c>
      <c r="K10" s="14"/>
      <c r="L10" s="12">
        <v>0</v>
      </c>
      <c r="M10" s="14"/>
      <c r="N10" s="12">
        <v>0</v>
      </c>
      <c r="O10" s="14"/>
      <c r="P10" s="12">
        <v>0</v>
      </c>
      <c r="Q10" s="14"/>
      <c r="R10" s="12">
        <v>0</v>
      </c>
      <c r="S10" s="14"/>
      <c r="T10" s="12">
        <v>0</v>
      </c>
      <c r="U10" s="14"/>
      <c r="V10" s="12">
        <v>0</v>
      </c>
      <c r="W10" s="14"/>
      <c r="X10" s="12">
        <v>0</v>
      </c>
      <c r="Y10" s="14"/>
      <c r="Z10" s="13">
        <f t="shared" si="0"/>
        <v>0</v>
      </c>
      <c r="AA10" s="14">
        <f t="shared" si="1"/>
        <v>0</v>
      </c>
      <c r="AB10" s="1"/>
    </row>
    <row r="11" spans="1:28" ht="16.5" customHeight="1">
      <c r="A11" s="11" t="s">
        <v>20</v>
      </c>
      <c r="B11" s="12">
        <v>2400</v>
      </c>
      <c r="C11" s="14"/>
      <c r="D11" s="12">
        <v>2400</v>
      </c>
      <c r="E11" s="14"/>
      <c r="F11" s="12">
        <v>2400</v>
      </c>
      <c r="G11" s="14"/>
      <c r="H11" s="12">
        <v>2400</v>
      </c>
      <c r="I11" s="14"/>
      <c r="J11" s="12">
        <v>2400</v>
      </c>
      <c r="K11" s="14"/>
      <c r="L11" s="12">
        <v>2400</v>
      </c>
      <c r="M11" s="14"/>
      <c r="N11" s="12">
        <v>0</v>
      </c>
      <c r="O11" s="14"/>
      <c r="P11" s="17">
        <v>0</v>
      </c>
      <c r="Q11" s="14"/>
      <c r="R11" s="17">
        <v>0</v>
      </c>
      <c r="S11" s="14"/>
      <c r="T11" s="17">
        <v>0</v>
      </c>
      <c r="U11" s="14"/>
      <c r="V11" s="17">
        <v>0</v>
      </c>
      <c r="W11" s="14"/>
      <c r="X11" s="17">
        <v>0</v>
      </c>
      <c r="Y11" s="14"/>
      <c r="Z11" s="13">
        <f>SUM(B11,D11,F11,H11,J11,L11,N11,P11,R11,T11,V11,X11)</f>
        <v>14400</v>
      </c>
      <c r="AA11" s="14">
        <f t="shared" si="1"/>
        <v>0</v>
      </c>
      <c r="AB11" s="62"/>
    </row>
    <row r="12" spans="1:28" ht="16.5" customHeight="1">
      <c r="A12" s="18" t="s">
        <v>21</v>
      </c>
      <c r="B12" s="17">
        <f t="shared" ref="B12:Z12" si="2">SUM(B9:B11)</f>
        <v>2400</v>
      </c>
      <c r="C12" s="14"/>
      <c r="D12" s="17">
        <f t="shared" si="2"/>
        <v>2400</v>
      </c>
      <c r="E12" s="14"/>
      <c r="F12" s="17">
        <f t="shared" si="2"/>
        <v>2400</v>
      </c>
      <c r="G12" s="14"/>
      <c r="H12" s="17">
        <f t="shared" si="2"/>
        <v>2400</v>
      </c>
      <c r="I12" s="14"/>
      <c r="J12" s="17">
        <f t="shared" si="2"/>
        <v>2400</v>
      </c>
      <c r="K12" s="14"/>
      <c r="L12" s="17">
        <f t="shared" si="2"/>
        <v>2400</v>
      </c>
      <c r="M12" s="14"/>
      <c r="N12" s="17">
        <f t="shared" si="2"/>
        <v>0</v>
      </c>
      <c r="O12" s="14"/>
      <c r="P12" s="17">
        <f t="shared" si="2"/>
        <v>0</v>
      </c>
      <c r="Q12" s="14"/>
      <c r="R12" s="17">
        <f t="shared" si="2"/>
        <v>0</v>
      </c>
      <c r="S12" s="14"/>
      <c r="T12" s="17">
        <f t="shared" si="2"/>
        <v>0</v>
      </c>
      <c r="U12" s="14"/>
      <c r="V12" s="17">
        <f t="shared" si="2"/>
        <v>0</v>
      </c>
      <c r="W12" s="14"/>
      <c r="X12" s="17">
        <f t="shared" si="2"/>
        <v>0</v>
      </c>
      <c r="Y12" s="14"/>
      <c r="Z12" s="17">
        <f t="shared" si="2"/>
        <v>14400</v>
      </c>
      <c r="AA12" s="14">
        <f t="shared" si="1"/>
        <v>0</v>
      </c>
      <c r="AB12" s="19"/>
    </row>
    <row r="13" spans="1:28" ht="16.5" customHeight="1">
      <c r="A13" s="15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2"/>
      <c r="AB13" s="19"/>
    </row>
    <row r="14" spans="1:28" ht="16.5" customHeight="1">
      <c r="A14" s="20" t="s">
        <v>22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2"/>
      <c r="AB14" s="1"/>
    </row>
    <row r="15" spans="1:28" ht="16.5" customHeight="1">
      <c r="A15" s="21"/>
      <c r="B15" s="21"/>
      <c r="C15" s="12"/>
      <c r="D15" s="21"/>
      <c r="E15" s="12"/>
      <c r="F15" s="21"/>
      <c r="G15" s="12"/>
      <c r="H15" s="21"/>
      <c r="I15" s="12"/>
      <c r="J15" s="21"/>
      <c r="K15" s="12"/>
      <c r="L15" s="21"/>
      <c r="M15" s="12"/>
      <c r="N15" s="21"/>
      <c r="O15" s="12"/>
      <c r="P15" s="21"/>
      <c r="Q15" s="12"/>
      <c r="R15" s="21"/>
      <c r="S15" s="12"/>
      <c r="T15" s="21"/>
      <c r="U15" s="12"/>
      <c r="V15" s="21"/>
      <c r="W15" s="12"/>
      <c r="X15" s="21"/>
      <c r="Y15" s="12"/>
      <c r="Z15" s="22"/>
      <c r="AA15" s="22"/>
      <c r="AB15" s="1"/>
    </row>
    <row r="16" spans="1:28" ht="16.5" customHeight="1">
      <c r="A16" s="11" t="s">
        <v>23</v>
      </c>
      <c r="B16" s="63">
        <v>10000</v>
      </c>
      <c r="C16" s="14"/>
      <c r="D16" s="12">
        <v>0</v>
      </c>
      <c r="E16" s="14"/>
      <c r="F16" s="12">
        <v>0</v>
      </c>
      <c r="G16" s="14"/>
      <c r="H16" s="12">
        <v>0</v>
      </c>
      <c r="I16" s="14"/>
      <c r="J16" s="12">
        <v>0</v>
      </c>
      <c r="K16" s="14"/>
      <c r="L16" s="12">
        <v>0</v>
      </c>
      <c r="M16" s="14"/>
      <c r="N16" s="12">
        <v>0</v>
      </c>
      <c r="O16" s="14"/>
      <c r="P16" s="12">
        <v>0</v>
      </c>
      <c r="Q16" s="14"/>
      <c r="R16" s="12">
        <v>0</v>
      </c>
      <c r="S16" s="14"/>
      <c r="T16" s="12">
        <v>0</v>
      </c>
      <c r="U16" s="14"/>
      <c r="V16" s="12">
        <v>0</v>
      </c>
      <c r="W16" s="14"/>
      <c r="X16" s="12">
        <v>0</v>
      </c>
      <c r="Y16" s="14"/>
      <c r="Z16" s="23">
        <f t="shared" ref="Z16:AA16" si="3">SUM(B16,D16,F16,H16,J16,L16,N16,P16,R16,T16,V16,X16)</f>
        <v>10000</v>
      </c>
      <c r="AA16" s="14">
        <f t="shared" si="3"/>
        <v>0</v>
      </c>
      <c r="AB16" s="24"/>
    </row>
    <row r="17" spans="1:28" ht="16.5" customHeight="1">
      <c r="A17" s="15" t="s">
        <v>24</v>
      </c>
      <c r="B17" s="12">
        <v>0</v>
      </c>
      <c r="C17" s="14"/>
      <c r="D17" s="12">
        <v>0</v>
      </c>
      <c r="E17" s="14"/>
      <c r="F17" s="12">
        <v>0</v>
      </c>
      <c r="G17" s="14"/>
      <c r="H17" s="12">
        <v>0</v>
      </c>
      <c r="I17" s="14"/>
      <c r="J17" s="12">
        <v>0</v>
      </c>
      <c r="K17" s="14"/>
      <c r="L17" s="12">
        <v>0</v>
      </c>
      <c r="M17" s="14"/>
      <c r="N17" s="12">
        <v>0</v>
      </c>
      <c r="O17" s="14"/>
      <c r="P17" s="12">
        <v>0</v>
      </c>
      <c r="Q17" s="14"/>
      <c r="R17" s="12">
        <v>0</v>
      </c>
      <c r="S17" s="14"/>
      <c r="T17" s="12">
        <v>0</v>
      </c>
      <c r="U17" s="14"/>
      <c r="V17" s="12">
        <v>0</v>
      </c>
      <c r="W17" s="14"/>
      <c r="X17" s="12">
        <v>0</v>
      </c>
      <c r="Y17" s="14"/>
      <c r="Z17" s="23">
        <f t="shared" ref="Z17:AA17" si="4">SUM(B17,D17,F17,H17,J17,L17,N17,P17,R17,T17,V17,X17)</f>
        <v>0</v>
      </c>
      <c r="AA17" s="14">
        <f t="shared" si="4"/>
        <v>0</v>
      </c>
      <c r="AB17" s="1"/>
    </row>
    <row r="18" spans="1:28" ht="16.5" customHeight="1">
      <c r="A18" s="15" t="s">
        <v>25</v>
      </c>
      <c r="B18" s="12">
        <v>0</v>
      </c>
      <c r="C18" s="14"/>
      <c r="D18" s="12">
        <v>0</v>
      </c>
      <c r="E18" s="14"/>
      <c r="F18" s="12">
        <v>0</v>
      </c>
      <c r="G18" s="14"/>
      <c r="H18" s="12">
        <v>0</v>
      </c>
      <c r="I18" s="14"/>
      <c r="J18" s="12">
        <v>0</v>
      </c>
      <c r="K18" s="14"/>
      <c r="L18" s="12">
        <v>0</v>
      </c>
      <c r="M18" s="14"/>
      <c r="N18" s="12">
        <v>0</v>
      </c>
      <c r="O18" s="14"/>
      <c r="P18" s="12">
        <v>0</v>
      </c>
      <c r="Q18" s="14"/>
      <c r="R18" s="12">
        <v>0</v>
      </c>
      <c r="S18" s="14"/>
      <c r="T18" s="12">
        <v>0</v>
      </c>
      <c r="U18" s="14"/>
      <c r="V18" s="12">
        <v>0</v>
      </c>
      <c r="W18" s="14"/>
      <c r="X18" s="12">
        <v>0</v>
      </c>
      <c r="Y18" s="14"/>
      <c r="Z18" s="23">
        <f t="shared" ref="Z18:AA20" si="5">SUM(B18,D18,F18,H18,J18,L18,N18,P18,R18,T18,V18,X18)</f>
        <v>0</v>
      </c>
      <c r="AA18" s="14">
        <f t="shared" si="5"/>
        <v>0</v>
      </c>
      <c r="AB18" s="1"/>
    </row>
    <row r="19" spans="1:28" ht="16.5" customHeight="1">
      <c r="A19" s="11" t="s">
        <v>26</v>
      </c>
      <c r="B19" s="12">
        <f t="shared" ref="B19:Z19" si="6">(SUM(B12+B16)*3)/23</f>
        <v>1617.391304347826</v>
      </c>
      <c r="C19" s="14"/>
      <c r="D19" s="12">
        <f t="shared" si="6"/>
        <v>313.04347826086956</v>
      </c>
      <c r="E19" s="14"/>
      <c r="F19" s="12">
        <f t="shared" si="6"/>
        <v>313.04347826086956</v>
      </c>
      <c r="G19" s="14"/>
      <c r="H19" s="12">
        <f t="shared" si="6"/>
        <v>313.04347826086956</v>
      </c>
      <c r="I19" s="14"/>
      <c r="J19" s="12">
        <f t="shared" si="6"/>
        <v>313.04347826086956</v>
      </c>
      <c r="K19" s="14"/>
      <c r="L19" s="12">
        <f t="shared" si="6"/>
        <v>313.04347826086956</v>
      </c>
      <c r="M19" s="14"/>
      <c r="N19" s="12">
        <f t="shared" si="6"/>
        <v>0</v>
      </c>
      <c r="O19" s="14"/>
      <c r="P19" s="12">
        <f t="shared" si="6"/>
        <v>0</v>
      </c>
      <c r="Q19" s="14"/>
      <c r="R19" s="12">
        <f t="shared" si="6"/>
        <v>0</v>
      </c>
      <c r="S19" s="14"/>
      <c r="T19" s="12">
        <f t="shared" si="6"/>
        <v>0</v>
      </c>
      <c r="U19" s="14"/>
      <c r="V19" s="12">
        <f t="shared" si="6"/>
        <v>0</v>
      </c>
      <c r="W19" s="14"/>
      <c r="X19" s="12">
        <f t="shared" si="6"/>
        <v>0</v>
      </c>
      <c r="Y19" s="14"/>
      <c r="Z19" s="12">
        <f t="shared" si="6"/>
        <v>3182.608695652174</v>
      </c>
      <c r="AA19" s="14">
        <f t="shared" si="5"/>
        <v>0</v>
      </c>
      <c r="AB19" s="1"/>
    </row>
    <row r="20" spans="1:28" ht="16.5" customHeight="1">
      <c r="A20" s="25" t="s">
        <v>27</v>
      </c>
      <c r="B20" s="26">
        <f>SUM(B16:B18)+B12</f>
        <v>12400</v>
      </c>
      <c r="C20" s="14"/>
      <c r="D20" s="26">
        <f t="shared" ref="D20:Z20" si="7">SUM(D16:D18)+D12</f>
        <v>2400</v>
      </c>
      <c r="E20" s="14"/>
      <c r="F20" s="26">
        <f t="shared" si="7"/>
        <v>2400</v>
      </c>
      <c r="G20" s="14"/>
      <c r="H20" s="26">
        <f t="shared" si="7"/>
        <v>2400</v>
      </c>
      <c r="I20" s="14"/>
      <c r="J20" s="26">
        <f t="shared" si="7"/>
        <v>2400</v>
      </c>
      <c r="K20" s="14"/>
      <c r="L20" s="26">
        <f t="shared" si="7"/>
        <v>2400</v>
      </c>
      <c r="M20" s="14"/>
      <c r="N20" s="26">
        <f t="shared" si="7"/>
        <v>0</v>
      </c>
      <c r="O20" s="14"/>
      <c r="P20" s="26">
        <f t="shared" si="7"/>
        <v>0</v>
      </c>
      <c r="Q20" s="14"/>
      <c r="R20" s="26">
        <f t="shared" si="7"/>
        <v>0</v>
      </c>
      <c r="S20" s="14"/>
      <c r="T20" s="26">
        <f t="shared" si="7"/>
        <v>0</v>
      </c>
      <c r="U20" s="14"/>
      <c r="V20" s="26">
        <f t="shared" si="7"/>
        <v>0</v>
      </c>
      <c r="W20" s="14"/>
      <c r="X20" s="26">
        <f t="shared" si="7"/>
        <v>0</v>
      </c>
      <c r="Y20" s="14"/>
      <c r="Z20" s="26">
        <f t="shared" si="7"/>
        <v>24400</v>
      </c>
      <c r="AA20" s="14">
        <f t="shared" si="5"/>
        <v>0</v>
      </c>
      <c r="AB20" s="1"/>
    </row>
    <row r="21" spans="1:28" ht="16.5" customHeight="1">
      <c r="A21" s="27" t="s">
        <v>28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0"/>
      <c r="AA21" s="29"/>
      <c r="AB21" s="1"/>
    </row>
    <row r="22" spans="1:28" ht="16.5" customHeight="1">
      <c r="A22" s="59" t="s">
        <v>29</v>
      </c>
      <c r="B22" s="64">
        <v>0</v>
      </c>
      <c r="C22" s="33">
        <v>0</v>
      </c>
      <c r="D22" s="32">
        <v>0</v>
      </c>
      <c r="E22" s="34">
        <v>0</v>
      </c>
      <c r="F22" s="32">
        <v>0</v>
      </c>
      <c r="G22" s="34">
        <v>0</v>
      </c>
      <c r="H22" s="32">
        <v>0</v>
      </c>
      <c r="I22" s="34">
        <v>0</v>
      </c>
      <c r="J22" s="32">
        <v>0</v>
      </c>
      <c r="K22" s="34">
        <v>0</v>
      </c>
      <c r="L22" s="32">
        <v>0</v>
      </c>
      <c r="M22" s="34">
        <v>0</v>
      </c>
      <c r="N22" s="32">
        <v>0</v>
      </c>
      <c r="O22" s="34">
        <v>0</v>
      </c>
      <c r="P22" s="32">
        <v>0</v>
      </c>
      <c r="Q22" s="34">
        <v>0</v>
      </c>
      <c r="R22" s="32">
        <v>0</v>
      </c>
      <c r="S22" s="34">
        <v>0</v>
      </c>
      <c r="T22" s="32">
        <v>0</v>
      </c>
      <c r="U22" s="34">
        <v>0</v>
      </c>
      <c r="V22" s="32">
        <v>0</v>
      </c>
      <c r="W22" s="34">
        <v>0</v>
      </c>
      <c r="X22" s="32">
        <v>0</v>
      </c>
      <c r="Y22" s="34">
        <v>0</v>
      </c>
      <c r="Z22" s="32">
        <v>0</v>
      </c>
      <c r="AA22" s="35">
        <f t="shared" ref="AA22" si="8">SUM(C22,E22,G22,I22,K22,M22,O22,Q22,S22,U22,W22,Y22)</f>
        <v>0</v>
      </c>
      <c r="AB22" s="1"/>
    </row>
    <row r="23" spans="1:28" ht="16.5" customHeight="1">
      <c r="A23" s="31" t="s">
        <v>30</v>
      </c>
      <c r="B23" s="64">
        <v>0</v>
      </c>
      <c r="C23" s="33">
        <v>0</v>
      </c>
      <c r="D23" s="32">
        <v>0</v>
      </c>
      <c r="E23" s="34">
        <v>0</v>
      </c>
      <c r="F23" s="32">
        <v>0</v>
      </c>
      <c r="G23" s="34">
        <v>0</v>
      </c>
      <c r="H23" s="32">
        <v>0</v>
      </c>
      <c r="I23" s="34">
        <v>0</v>
      </c>
      <c r="J23" s="32">
        <v>0</v>
      </c>
      <c r="K23" s="34">
        <v>0</v>
      </c>
      <c r="L23" s="32">
        <v>0</v>
      </c>
      <c r="M23" s="34">
        <v>0</v>
      </c>
      <c r="N23" s="32">
        <v>0</v>
      </c>
      <c r="O23" s="34">
        <v>0</v>
      </c>
      <c r="P23" s="32">
        <v>0</v>
      </c>
      <c r="Q23" s="34">
        <v>0</v>
      </c>
      <c r="R23" s="32">
        <v>0</v>
      </c>
      <c r="S23" s="34">
        <v>0</v>
      </c>
      <c r="T23" s="32">
        <v>0</v>
      </c>
      <c r="U23" s="34">
        <v>0</v>
      </c>
      <c r="V23" s="32">
        <v>0</v>
      </c>
      <c r="W23" s="34">
        <v>0</v>
      </c>
      <c r="X23" s="32">
        <v>0</v>
      </c>
      <c r="Y23" s="34">
        <v>0</v>
      </c>
      <c r="Z23" s="32">
        <v>0</v>
      </c>
      <c r="AA23" s="35">
        <f t="shared" ref="Z23:AA23" si="9">SUM(C23,E23,G23,I23,K23,M23,O23,Q23,S23,U23,W23,Y23)</f>
        <v>0</v>
      </c>
      <c r="AB23" s="1"/>
    </row>
    <row r="24" spans="1:28" ht="16.5" customHeight="1">
      <c r="A24" s="36" t="s">
        <v>31</v>
      </c>
      <c r="B24" s="64">
        <v>0</v>
      </c>
      <c r="C24" s="33">
        <v>0</v>
      </c>
      <c r="D24" s="32">
        <v>0</v>
      </c>
      <c r="E24" s="34">
        <v>0</v>
      </c>
      <c r="F24" s="32">
        <v>0</v>
      </c>
      <c r="G24" s="34">
        <v>0</v>
      </c>
      <c r="H24" s="32">
        <v>0</v>
      </c>
      <c r="I24" s="34">
        <v>0</v>
      </c>
      <c r="J24" s="32">
        <v>0</v>
      </c>
      <c r="K24" s="34">
        <v>0</v>
      </c>
      <c r="L24" s="32">
        <v>0</v>
      </c>
      <c r="M24" s="34">
        <v>0</v>
      </c>
      <c r="N24" s="32">
        <v>0</v>
      </c>
      <c r="O24" s="34">
        <v>0</v>
      </c>
      <c r="P24" s="32">
        <v>0</v>
      </c>
      <c r="Q24" s="34">
        <v>0</v>
      </c>
      <c r="R24" s="32">
        <v>0</v>
      </c>
      <c r="S24" s="34">
        <v>0</v>
      </c>
      <c r="T24" s="32">
        <v>0</v>
      </c>
      <c r="U24" s="34">
        <v>0</v>
      </c>
      <c r="V24" s="32">
        <v>0</v>
      </c>
      <c r="W24" s="34">
        <v>0</v>
      </c>
      <c r="X24" s="32">
        <v>0</v>
      </c>
      <c r="Y24" s="34">
        <v>0</v>
      </c>
      <c r="Z24" s="32">
        <v>0</v>
      </c>
      <c r="AA24" s="35">
        <f t="shared" ref="Z24:AA24" si="10">SUM(C24,E24,G24,I24,K24,M24,O24,Q24,S24,U24,W24,Y24)</f>
        <v>0</v>
      </c>
      <c r="AB24" s="1"/>
    </row>
    <row r="25" spans="1:28" ht="16.5" customHeight="1">
      <c r="A25" s="31" t="s">
        <v>32</v>
      </c>
      <c r="B25" s="64">
        <v>0</v>
      </c>
      <c r="C25" s="33">
        <v>0</v>
      </c>
      <c r="D25" s="32">
        <v>0</v>
      </c>
      <c r="E25" s="34">
        <v>0</v>
      </c>
      <c r="F25" s="32">
        <v>0</v>
      </c>
      <c r="G25" s="34">
        <v>0</v>
      </c>
      <c r="H25" s="32">
        <v>0</v>
      </c>
      <c r="I25" s="34">
        <v>0</v>
      </c>
      <c r="J25" s="32">
        <v>0</v>
      </c>
      <c r="K25" s="34">
        <v>0</v>
      </c>
      <c r="L25" s="32">
        <v>0</v>
      </c>
      <c r="M25" s="34">
        <v>0</v>
      </c>
      <c r="N25" s="32">
        <v>0</v>
      </c>
      <c r="O25" s="34">
        <v>0</v>
      </c>
      <c r="P25" s="32">
        <v>0</v>
      </c>
      <c r="Q25" s="34">
        <v>0</v>
      </c>
      <c r="R25" s="32">
        <v>0</v>
      </c>
      <c r="S25" s="34">
        <v>0</v>
      </c>
      <c r="T25" s="32">
        <v>0</v>
      </c>
      <c r="U25" s="34">
        <v>0</v>
      </c>
      <c r="V25" s="32">
        <v>0</v>
      </c>
      <c r="W25" s="34">
        <v>0</v>
      </c>
      <c r="X25" s="32">
        <v>0</v>
      </c>
      <c r="Y25" s="34">
        <v>0</v>
      </c>
      <c r="Z25" s="32">
        <v>0</v>
      </c>
      <c r="AA25" s="35">
        <f t="shared" ref="Z25:AA25" si="11">SUM(C25,E25,G25,I25,K25,M25,O25,Q25,S25,U25,W25,Y25)</f>
        <v>0</v>
      </c>
      <c r="AB25" s="1"/>
    </row>
    <row r="26" spans="1:28" ht="16.5" customHeight="1">
      <c r="A26" s="31" t="s">
        <v>33</v>
      </c>
      <c r="B26" s="64">
        <v>0</v>
      </c>
      <c r="C26" s="33">
        <v>0</v>
      </c>
      <c r="D26" s="32">
        <v>0</v>
      </c>
      <c r="E26" s="34">
        <v>0</v>
      </c>
      <c r="F26" s="32">
        <v>0</v>
      </c>
      <c r="G26" s="34">
        <v>0</v>
      </c>
      <c r="H26" s="32">
        <v>0</v>
      </c>
      <c r="I26" s="34">
        <v>0</v>
      </c>
      <c r="J26" s="32">
        <v>0</v>
      </c>
      <c r="K26" s="34">
        <v>0</v>
      </c>
      <c r="L26" s="32">
        <v>0</v>
      </c>
      <c r="M26" s="34">
        <v>0</v>
      </c>
      <c r="N26" s="32">
        <v>0</v>
      </c>
      <c r="O26" s="34">
        <v>0</v>
      </c>
      <c r="P26" s="32">
        <v>0</v>
      </c>
      <c r="Q26" s="34">
        <v>0</v>
      </c>
      <c r="R26" s="32">
        <v>0</v>
      </c>
      <c r="S26" s="34">
        <v>0</v>
      </c>
      <c r="T26" s="32">
        <v>0</v>
      </c>
      <c r="U26" s="34">
        <v>0</v>
      </c>
      <c r="V26" s="32">
        <v>0</v>
      </c>
      <c r="W26" s="34">
        <v>0</v>
      </c>
      <c r="X26" s="32">
        <v>0</v>
      </c>
      <c r="Y26" s="34">
        <v>0</v>
      </c>
      <c r="Z26" s="32">
        <v>0</v>
      </c>
      <c r="AA26" s="35">
        <f t="shared" ref="Z26:AA26" si="12">SUM(C26,E26,G26,I26,K26,M26,O26,Q26,S26,U26,W26,Y26)</f>
        <v>0</v>
      </c>
      <c r="AB26" s="1"/>
    </row>
    <row r="27" spans="1:28" ht="16.5" customHeight="1">
      <c r="A27" s="31" t="s">
        <v>34</v>
      </c>
      <c r="B27" s="64">
        <v>0</v>
      </c>
      <c r="C27" s="33">
        <v>0</v>
      </c>
      <c r="D27" s="32">
        <v>0</v>
      </c>
      <c r="E27" s="34">
        <v>0</v>
      </c>
      <c r="F27" s="32">
        <v>0</v>
      </c>
      <c r="G27" s="34">
        <v>0</v>
      </c>
      <c r="H27" s="32">
        <v>0</v>
      </c>
      <c r="I27" s="34">
        <v>0</v>
      </c>
      <c r="J27" s="32">
        <v>0</v>
      </c>
      <c r="K27" s="34">
        <v>0</v>
      </c>
      <c r="L27" s="32">
        <v>0</v>
      </c>
      <c r="M27" s="34">
        <v>0</v>
      </c>
      <c r="N27" s="32">
        <v>0</v>
      </c>
      <c r="O27" s="34">
        <v>0</v>
      </c>
      <c r="P27" s="32">
        <v>0</v>
      </c>
      <c r="Q27" s="34">
        <v>0</v>
      </c>
      <c r="R27" s="32">
        <v>0</v>
      </c>
      <c r="S27" s="34">
        <v>0</v>
      </c>
      <c r="T27" s="32">
        <v>0</v>
      </c>
      <c r="U27" s="34">
        <v>0</v>
      </c>
      <c r="V27" s="32">
        <v>0</v>
      </c>
      <c r="W27" s="34">
        <v>0</v>
      </c>
      <c r="X27" s="32">
        <v>0</v>
      </c>
      <c r="Y27" s="34">
        <v>0</v>
      </c>
      <c r="Z27" s="32">
        <v>0</v>
      </c>
      <c r="AA27" s="35">
        <f t="shared" ref="Z27:AA27" si="13">SUM(C27,E27,G27,I27,K27,M27,O27,Q27,S27,U27,W27,Y27)</f>
        <v>0</v>
      </c>
      <c r="AB27" s="1"/>
    </row>
    <row r="28" spans="1:28" ht="16.5" customHeight="1">
      <c r="A28" s="31" t="s">
        <v>35</v>
      </c>
      <c r="B28" s="64">
        <v>0</v>
      </c>
      <c r="C28" s="33">
        <v>0</v>
      </c>
      <c r="D28" s="32">
        <v>0</v>
      </c>
      <c r="E28" s="34">
        <v>0</v>
      </c>
      <c r="F28" s="32">
        <v>0</v>
      </c>
      <c r="G28" s="34">
        <v>0</v>
      </c>
      <c r="H28" s="32">
        <v>0</v>
      </c>
      <c r="I28" s="34">
        <v>0</v>
      </c>
      <c r="J28" s="32">
        <v>0</v>
      </c>
      <c r="K28" s="34">
        <v>0</v>
      </c>
      <c r="L28" s="32">
        <v>0</v>
      </c>
      <c r="M28" s="34">
        <v>0</v>
      </c>
      <c r="N28" s="32">
        <v>0</v>
      </c>
      <c r="O28" s="34">
        <v>0</v>
      </c>
      <c r="P28" s="32">
        <v>0</v>
      </c>
      <c r="Q28" s="34">
        <v>0</v>
      </c>
      <c r="R28" s="32">
        <v>0</v>
      </c>
      <c r="S28" s="34">
        <v>0</v>
      </c>
      <c r="T28" s="32">
        <v>0</v>
      </c>
      <c r="U28" s="34">
        <v>0</v>
      </c>
      <c r="V28" s="32">
        <v>0</v>
      </c>
      <c r="W28" s="34">
        <v>0</v>
      </c>
      <c r="X28" s="32">
        <v>0</v>
      </c>
      <c r="Y28" s="34">
        <v>0</v>
      </c>
      <c r="Z28" s="32">
        <v>0</v>
      </c>
      <c r="AA28" s="35">
        <f t="shared" ref="Z28:AA28" si="14">SUM(C28,E28,G28,I28,K28,M28,O28,Q28,S28,U28,W28,Y28)</f>
        <v>0</v>
      </c>
      <c r="AB28" s="1"/>
    </row>
    <row r="29" spans="1:28" ht="16.5" customHeight="1">
      <c r="A29" s="31" t="s">
        <v>36</v>
      </c>
      <c r="B29" s="64">
        <v>0</v>
      </c>
      <c r="C29" s="33">
        <v>0</v>
      </c>
      <c r="D29" s="32">
        <v>0</v>
      </c>
      <c r="E29" s="34">
        <v>0</v>
      </c>
      <c r="F29" s="32">
        <v>0</v>
      </c>
      <c r="G29" s="34">
        <v>0</v>
      </c>
      <c r="H29" s="32">
        <v>0</v>
      </c>
      <c r="I29" s="34">
        <v>0</v>
      </c>
      <c r="J29" s="32">
        <v>0</v>
      </c>
      <c r="K29" s="34">
        <v>0</v>
      </c>
      <c r="L29" s="32">
        <v>0</v>
      </c>
      <c r="M29" s="34">
        <v>0</v>
      </c>
      <c r="N29" s="32">
        <v>0</v>
      </c>
      <c r="O29" s="34">
        <v>0</v>
      </c>
      <c r="P29" s="32">
        <v>0</v>
      </c>
      <c r="Q29" s="34">
        <v>0</v>
      </c>
      <c r="R29" s="32">
        <v>0</v>
      </c>
      <c r="S29" s="34">
        <v>0</v>
      </c>
      <c r="T29" s="32">
        <v>0</v>
      </c>
      <c r="U29" s="34">
        <v>0</v>
      </c>
      <c r="V29" s="32">
        <v>0</v>
      </c>
      <c r="W29" s="34">
        <v>0</v>
      </c>
      <c r="X29" s="32">
        <v>0</v>
      </c>
      <c r="Y29" s="34">
        <v>0</v>
      </c>
      <c r="Z29" s="32">
        <v>0</v>
      </c>
      <c r="AA29" s="35">
        <f t="shared" ref="Z29:AA29" si="15">SUM(C29,E29,G29,I29,K29,M29,O29,Q29,S29,U29,W29,Y29)</f>
        <v>0</v>
      </c>
      <c r="AB29" s="1"/>
    </row>
    <row r="30" spans="1:28" ht="16.5" customHeight="1">
      <c r="A30" s="31" t="s">
        <v>37</v>
      </c>
      <c r="B30" s="64">
        <v>0</v>
      </c>
      <c r="C30" s="33">
        <v>0</v>
      </c>
      <c r="D30" s="32">
        <v>0</v>
      </c>
      <c r="E30" s="34">
        <v>0</v>
      </c>
      <c r="F30" s="32">
        <v>0</v>
      </c>
      <c r="G30" s="34">
        <v>0</v>
      </c>
      <c r="H30" s="32">
        <v>0</v>
      </c>
      <c r="I30" s="34">
        <v>0</v>
      </c>
      <c r="J30" s="32">
        <v>0</v>
      </c>
      <c r="K30" s="34">
        <v>0</v>
      </c>
      <c r="L30" s="32">
        <v>0</v>
      </c>
      <c r="M30" s="34">
        <v>0</v>
      </c>
      <c r="N30" s="32">
        <v>0</v>
      </c>
      <c r="O30" s="34">
        <v>0</v>
      </c>
      <c r="P30" s="32">
        <v>0</v>
      </c>
      <c r="Q30" s="34">
        <v>0</v>
      </c>
      <c r="R30" s="32">
        <v>0</v>
      </c>
      <c r="S30" s="34">
        <v>0</v>
      </c>
      <c r="T30" s="32">
        <v>0</v>
      </c>
      <c r="U30" s="34">
        <v>0</v>
      </c>
      <c r="V30" s="32">
        <v>0</v>
      </c>
      <c r="W30" s="34">
        <v>0</v>
      </c>
      <c r="X30" s="32">
        <v>0</v>
      </c>
      <c r="Y30" s="34">
        <v>0</v>
      </c>
      <c r="Z30" s="32">
        <v>0</v>
      </c>
      <c r="AA30" s="35">
        <f t="shared" ref="Z30:AA30" si="16">SUM(C30,E30,G30,I30,K30,M30,O30,Q30,S30,U30,W30,Y30)</f>
        <v>0</v>
      </c>
      <c r="AB30" s="1"/>
    </row>
    <row r="31" spans="1:28" ht="16.5" customHeight="1">
      <c r="A31" s="31" t="s">
        <v>38</v>
      </c>
      <c r="B31" s="64">
        <v>0</v>
      </c>
      <c r="C31" s="33">
        <v>0</v>
      </c>
      <c r="D31" s="32">
        <v>0</v>
      </c>
      <c r="E31" s="34">
        <v>0</v>
      </c>
      <c r="F31" s="32">
        <v>0</v>
      </c>
      <c r="G31" s="34">
        <v>0</v>
      </c>
      <c r="H31" s="32">
        <v>0</v>
      </c>
      <c r="I31" s="34">
        <v>0</v>
      </c>
      <c r="J31" s="32">
        <v>0</v>
      </c>
      <c r="K31" s="34">
        <v>0</v>
      </c>
      <c r="L31" s="32">
        <v>0</v>
      </c>
      <c r="M31" s="34">
        <v>0</v>
      </c>
      <c r="N31" s="32">
        <v>0</v>
      </c>
      <c r="O31" s="34">
        <v>0</v>
      </c>
      <c r="P31" s="32">
        <v>0</v>
      </c>
      <c r="Q31" s="34">
        <v>0</v>
      </c>
      <c r="R31" s="32">
        <v>0</v>
      </c>
      <c r="S31" s="34">
        <v>0</v>
      </c>
      <c r="T31" s="32">
        <v>0</v>
      </c>
      <c r="U31" s="34">
        <v>0</v>
      </c>
      <c r="V31" s="32">
        <v>0</v>
      </c>
      <c r="W31" s="34">
        <v>0</v>
      </c>
      <c r="X31" s="32">
        <v>0</v>
      </c>
      <c r="Y31" s="34">
        <v>0</v>
      </c>
      <c r="Z31" s="32">
        <v>0</v>
      </c>
      <c r="AA31" s="39">
        <f t="shared" ref="AA31:AA32" si="17">SUM(M31,C31,E31,G31,I31,K31,M31,O31,Q31,S31,U31,W31,Y31)</f>
        <v>0</v>
      </c>
      <c r="AB31" s="1"/>
    </row>
    <row r="32" spans="1:28" ht="16.5" customHeight="1">
      <c r="A32" s="31" t="s">
        <v>39</v>
      </c>
      <c r="B32" s="64">
        <v>0</v>
      </c>
      <c r="C32" s="33">
        <v>0</v>
      </c>
      <c r="D32" s="32">
        <v>0</v>
      </c>
      <c r="E32" s="34">
        <v>0</v>
      </c>
      <c r="F32" s="32">
        <v>0</v>
      </c>
      <c r="G32" s="34">
        <v>0</v>
      </c>
      <c r="H32" s="32">
        <v>0</v>
      </c>
      <c r="I32" s="34">
        <v>0</v>
      </c>
      <c r="J32" s="32">
        <v>0</v>
      </c>
      <c r="K32" s="34">
        <v>0</v>
      </c>
      <c r="L32" s="32">
        <v>0</v>
      </c>
      <c r="M32" s="34">
        <v>0</v>
      </c>
      <c r="N32" s="32">
        <v>0</v>
      </c>
      <c r="O32" s="34">
        <v>0</v>
      </c>
      <c r="P32" s="32">
        <v>0</v>
      </c>
      <c r="Q32" s="34">
        <v>0</v>
      </c>
      <c r="R32" s="32">
        <v>0</v>
      </c>
      <c r="S32" s="34">
        <v>0</v>
      </c>
      <c r="T32" s="32">
        <v>0</v>
      </c>
      <c r="U32" s="34">
        <v>0</v>
      </c>
      <c r="V32" s="32">
        <v>0</v>
      </c>
      <c r="W32" s="34">
        <v>0</v>
      </c>
      <c r="X32" s="32">
        <v>0</v>
      </c>
      <c r="Y32" s="34">
        <v>0</v>
      </c>
      <c r="Z32" s="32">
        <v>0</v>
      </c>
      <c r="AA32" s="39">
        <f t="shared" si="17"/>
        <v>0</v>
      </c>
      <c r="AB32" s="1"/>
    </row>
    <row r="33" spans="1:28" ht="16.5" customHeight="1">
      <c r="A33" s="36" t="s">
        <v>40</v>
      </c>
      <c r="B33" s="64">
        <v>0</v>
      </c>
      <c r="C33" s="33">
        <v>0</v>
      </c>
      <c r="D33" s="32">
        <v>0</v>
      </c>
      <c r="E33" s="34">
        <v>0</v>
      </c>
      <c r="F33" s="32">
        <v>0</v>
      </c>
      <c r="G33" s="34">
        <v>0</v>
      </c>
      <c r="H33" s="32">
        <v>0</v>
      </c>
      <c r="I33" s="34">
        <v>0</v>
      </c>
      <c r="J33" s="32">
        <v>0</v>
      </c>
      <c r="K33" s="34">
        <v>0</v>
      </c>
      <c r="L33" s="32">
        <v>0</v>
      </c>
      <c r="M33" s="34">
        <v>0</v>
      </c>
      <c r="N33" s="32">
        <v>0</v>
      </c>
      <c r="O33" s="34">
        <v>0</v>
      </c>
      <c r="P33" s="32">
        <v>0</v>
      </c>
      <c r="Q33" s="34">
        <v>0</v>
      </c>
      <c r="R33" s="32">
        <v>0</v>
      </c>
      <c r="S33" s="34">
        <v>0</v>
      </c>
      <c r="T33" s="32">
        <v>0</v>
      </c>
      <c r="U33" s="34">
        <v>0</v>
      </c>
      <c r="V33" s="32">
        <v>0</v>
      </c>
      <c r="W33" s="34">
        <v>0</v>
      </c>
      <c r="X33" s="32">
        <v>0</v>
      </c>
      <c r="Y33" s="34">
        <v>0</v>
      </c>
      <c r="Z33" s="32">
        <v>0</v>
      </c>
      <c r="AA33" s="35">
        <f t="shared" ref="AA33:AA38" si="18">SUM(C33,E33,G33,I33,K33,M33,O33,Q33,S33,U33,W33,Y33)</f>
        <v>0</v>
      </c>
      <c r="AB33" s="1"/>
    </row>
    <row r="34" spans="1:28" ht="16.5" hidden="1" customHeight="1">
      <c r="A34" s="36" t="s">
        <v>41</v>
      </c>
      <c r="B34" s="64">
        <v>0</v>
      </c>
      <c r="C34" s="33">
        <v>0</v>
      </c>
      <c r="D34" s="32">
        <v>0</v>
      </c>
      <c r="E34" s="34">
        <v>0</v>
      </c>
      <c r="F34" s="32">
        <v>0</v>
      </c>
      <c r="G34" s="34">
        <v>0</v>
      </c>
      <c r="H34" s="32">
        <v>0</v>
      </c>
      <c r="I34" s="34">
        <v>0</v>
      </c>
      <c r="J34" s="32">
        <v>0</v>
      </c>
      <c r="K34" s="34">
        <v>0</v>
      </c>
      <c r="L34" s="32">
        <v>0</v>
      </c>
      <c r="M34" s="34">
        <v>0</v>
      </c>
      <c r="N34" s="32">
        <v>0</v>
      </c>
      <c r="O34" s="34">
        <v>0</v>
      </c>
      <c r="P34" s="32">
        <v>0</v>
      </c>
      <c r="Q34" s="34">
        <v>0</v>
      </c>
      <c r="R34" s="32">
        <v>0</v>
      </c>
      <c r="S34" s="34">
        <v>0</v>
      </c>
      <c r="T34" s="32">
        <v>0</v>
      </c>
      <c r="U34" s="34">
        <v>0</v>
      </c>
      <c r="V34" s="32">
        <v>0</v>
      </c>
      <c r="W34" s="34">
        <v>0</v>
      </c>
      <c r="X34" s="32">
        <v>0</v>
      </c>
      <c r="Y34" s="34">
        <v>0</v>
      </c>
      <c r="Z34" s="32">
        <v>0</v>
      </c>
      <c r="AA34" s="35">
        <f t="shared" si="18"/>
        <v>0</v>
      </c>
      <c r="AB34" s="1"/>
    </row>
    <row r="35" spans="1:28" ht="16.5" customHeight="1">
      <c r="A35" s="36" t="s">
        <v>42</v>
      </c>
      <c r="B35" s="64">
        <v>0</v>
      </c>
      <c r="C35" s="33">
        <v>0</v>
      </c>
      <c r="D35" s="32">
        <v>0</v>
      </c>
      <c r="E35" s="34">
        <v>0</v>
      </c>
      <c r="F35" s="32">
        <v>0</v>
      </c>
      <c r="G35" s="34">
        <v>0</v>
      </c>
      <c r="H35" s="32">
        <v>0</v>
      </c>
      <c r="I35" s="34">
        <v>0</v>
      </c>
      <c r="J35" s="32">
        <v>0</v>
      </c>
      <c r="K35" s="34">
        <v>0</v>
      </c>
      <c r="L35" s="32">
        <v>0</v>
      </c>
      <c r="M35" s="34">
        <v>0</v>
      </c>
      <c r="N35" s="32">
        <v>0</v>
      </c>
      <c r="O35" s="34">
        <v>0</v>
      </c>
      <c r="P35" s="32">
        <v>0</v>
      </c>
      <c r="Q35" s="34">
        <v>0</v>
      </c>
      <c r="R35" s="32">
        <v>0</v>
      </c>
      <c r="S35" s="34">
        <v>0</v>
      </c>
      <c r="T35" s="32">
        <v>0</v>
      </c>
      <c r="U35" s="34">
        <v>0</v>
      </c>
      <c r="V35" s="32">
        <v>0</v>
      </c>
      <c r="W35" s="34">
        <v>0</v>
      </c>
      <c r="X35" s="32">
        <v>0</v>
      </c>
      <c r="Y35" s="34">
        <v>0</v>
      </c>
      <c r="Z35" s="32">
        <v>0</v>
      </c>
      <c r="AA35" s="35">
        <f t="shared" si="18"/>
        <v>0</v>
      </c>
      <c r="AB35" s="1"/>
    </row>
    <row r="36" spans="1:28" ht="16.5" hidden="1" customHeight="1">
      <c r="A36" s="36" t="s">
        <v>43</v>
      </c>
      <c r="B36" s="64">
        <v>0</v>
      </c>
      <c r="C36" s="33">
        <v>0</v>
      </c>
      <c r="D36" s="32">
        <v>0</v>
      </c>
      <c r="E36" s="34">
        <v>0</v>
      </c>
      <c r="F36" s="32">
        <v>0</v>
      </c>
      <c r="G36" s="34">
        <v>0</v>
      </c>
      <c r="H36" s="32">
        <v>0</v>
      </c>
      <c r="I36" s="34">
        <v>0</v>
      </c>
      <c r="J36" s="32">
        <v>0</v>
      </c>
      <c r="K36" s="34">
        <v>0</v>
      </c>
      <c r="L36" s="32">
        <v>0</v>
      </c>
      <c r="M36" s="34">
        <v>0</v>
      </c>
      <c r="N36" s="32">
        <v>0</v>
      </c>
      <c r="O36" s="34">
        <v>0</v>
      </c>
      <c r="P36" s="32">
        <v>0</v>
      </c>
      <c r="Q36" s="34">
        <v>0</v>
      </c>
      <c r="R36" s="32">
        <v>0</v>
      </c>
      <c r="S36" s="34">
        <v>0</v>
      </c>
      <c r="T36" s="32">
        <v>0</v>
      </c>
      <c r="U36" s="34">
        <v>0</v>
      </c>
      <c r="V36" s="32">
        <v>0</v>
      </c>
      <c r="W36" s="34">
        <v>0</v>
      </c>
      <c r="X36" s="32">
        <v>0</v>
      </c>
      <c r="Y36" s="34">
        <v>0</v>
      </c>
      <c r="Z36" s="32">
        <v>0</v>
      </c>
      <c r="AA36" s="35">
        <f t="shared" si="18"/>
        <v>0</v>
      </c>
      <c r="AB36" s="1"/>
    </row>
    <row r="37" spans="1:28" ht="16.5" hidden="1" customHeight="1">
      <c r="A37" s="36" t="s">
        <v>44</v>
      </c>
      <c r="B37" s="64">
        <v>0</v>
      </c>
      <c r="C37" s="33">
        <v>0</v>
      </c>
      <c r="D37" s="32">
        <v>0</v>
      </c>
      <c r="E37" s="34">
        <v>0</v>
      </c>
      <c r="F37" s="32">
        <v>0</v>
      </c>
      <c r="G37" s="34">
        <v>0</v>
      </c>
      <c r="H37" s="32">
        <v>0</v>
      </c>
      <c r="I37" s="34">
        <v>0</v>
      </c>
      <c r="J37" s="32">
        <v>0</v>
      </c>
      <c r="K37" s="34">
        <v>0</v>
      </c>
      <c r="L37" s="32">
        <v>0</v>
      </c>
      <c r="M37" s="34">
        <v>0</v>
      </c>
      <c r="N37" s="32">
        <v>0</v>
      </c>
      <c r="O37" s="34">
        <v>0</v>
      </c>
      <c r="P37" s="32">
        <v>0</v>
      </c>
      <c r="Q37" s="34">
        <v>0</v>
      </c>
      <c r="R37" s="32">
        <v>0</v>
      </c>
      <c r="S37" s="34">
        <v>0</v>
      </c>
      <c r="T37" s="32">
        <v>0</v>
      </c>
      <c r="U37" s="34">
        <v>0</v>
      </c>
      <c r="V37" s="32">
        <v>0</v>
      </c>
      <c r="W37" s="34">
        <v>0</v>
      </c>
      <c r="X37" s="32">
        <v>0</v>
      </c>
      <c r="Y37" s="34">
        <v>0</v>
      </c>
      <c r="Z37" s="32">
        <v>0</v>
      </c>
      <c r="AA37" s="35">
        <f t="shared" si="18"/>
        <v>0</v>
      </c>
      <c r="AB37" s="1"/>
    </row>
    <row r="38" spans="1:28" ht="16.5" customHeight="1">
      <c r="A38" s="36" t="s">
        <v>45</v>
      </c>
      <c r="B38" s="64">
        <v>0</v>
      </c>
      <c r="C38" s="33">
        <v>0</v>
      </c>
      <c r="D38" s="32">
        <v>0</v>
      </c>
      <c r="E38" s="34">
        <v>0</v>
      </c>
      <c r="F38" s="32">
        <v>0</v>
      </c>
      <c r="G38" s="34">
        <v>0</v>
      </c>
      <c r="H38" s="32">
        <v>0</v>
      </c>
      <c r="I38" s="34">
        <v>0</v>
      </c>
      <c r="J38" s="32">
        <v>0</v>
      </c>
      <c r="K38" s="34">
        <v>0</v>
      </c>
      <c r="L38" s="32">
        <v>0</v>
      </c>
      <c r="M38" s="34">
        <v>0</v>
      </c>
      <c r="N38" s="32">
        <v>0</v>
      </c>
      <c r="O38" s="34">
        <v>0</v>
      </c>
      <c r="P38" s="32">
        <v>0</v>
      </c>
      <c r="Q38" s="34">
        <v>0</v>
      </c>
      <c r="R38" s="32">
        <v>0</v>
      </c>
      <c r="S38" s="34">
        <v>0</v>
      </c>
      <c r="T38" s="32">
        <v>0</v>
      </c>
      <c r="U38" s="34">
        <v>0</v>
      </c>
      <c r="V38" s="32">
        <v>0</v>
      </c>
      <c r="W38" s="34">
        <v>0</v>
      </c>
      <c r="X38" s="32">
        <v>0</v>
      </c>
      <c r="Y38" s="34">
        <v>0</v>
      </c>
      <c r="Z38" s="32">
        <v>0</v>
      </c>
      <c r="AA38" s="14">
        <f t="shared" si="18"/>
        <v>0</v>
      </c>
      <c r="AB38" s="1"/>
    </row>
    <row r="39" spans="1:28" ht="16.5" customHeight="1">
      <c r="A39" s="40" t="s">
        <v>46</v>
      </c>
      <c r="B39" s="41">
        <f>SUM(B22:B38)</f>
        <v>0</v>
      </c>
      <c r="C39" s="41">
        <f t="shared" ref="C39:AA39" si="19">SUM(C22:C38)</f>
        <v>0</v>
      </c>
      <c r="D39" s="41">
        <f t="shared" si="19"/>
        <v>0</v>
      </c>
      <c r="E39" s="41">
        <f t="shared" si="19"/>
        <v>0</v>
      </c>
      <c r="F39" s="41">
        <f t="shared" si="19"/>
        <v>0</v>
      </c>
      <c r="G39" s="41">
        <f t="shared" si="19"/>
        <v>0</v>
      </c>
      <c r="H39" s="41">
        <f t="shared" si="19"/>
        <v>0</v>
      </c>
      <c r="I39" s="41">
        <f t="shared" si="19"/>
        <v>0</v>
      </c>
      <c r="J39" s="41">
        <f t="shared" si="19"/>
        <v>0</v>
      </c>
      <c r="K39" s="41">
        <f t="shared" si="19"/>
        <v>0</v>
      </c>
      <c r="L39" s="41">
        <f t="shared" si="19"/>
        <v>0</v>
      </c>
      <c r="M39" s="41">
        <f t="shared" si="19"/>
        <v>0</v>
      </c>
      <c r="N39" s="41">
        <f t="shared" si="19"/>
        <v>0</v>
      </c>
      <c r="O39" s="41">
        <f t="shared" si="19"/>
        <v>0</v>
      </c>
      <c r="P39" s="41">
        <f t="shared" si="19"/>
        <v>0</v>
      </c>
      <c r="Q39" s="41">
        <f t="shared" si="19"/>
        <v>0</v>
      </c>
      <c r="R39" s="41">
        <f t="shared" si="19"/>
        <v>0</v>
      </c>
      <c r="S39" s="41">
        <f t="shared" si="19"/>
        <v>0</v>
      </c>
      <c r="T39" s="41">
        <f t="shared" si="19"/>
        <v>0</v>
      </c>
      <c r="U39" s="41">
        <f t="shared" si="19"/>
        <v>0</v>
      </c>
      <c r="V39" s="41">
        <f t="shared" si="19"/>
        <v>0</v>
      </c>
      <c r="W39" s="41">
        <f t="shared" si="19"/>
        <v>0</v>
      </c>
      <c r="X39" s="41">
        <f t="shared" si="19"/>
        <v>0</v>
      </c>
      <c r="Y39" s="41">
        <f t="shared" si="19"/>
        <v>0</v>
      </c>
      <c r="Z39" s="41">
        <f t="shared" si="19"/>
        <v>0</v>
      </c>
      <c r="AA39" s="41">
        <f t="shared" si="19"/>
        <v>0</v>
      </c>
      <c r="AB39" s="1"/>
    </row>
    <row r="40" spans="1:28" ht="16.5" customHeight="1">
      <c r="A40" s="31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13"/>
      <c r="AA40" s="12"/>
      <c r="AB40" s="1"/>
    </row>
    <row r="41" spans="1:28" ht="16.5" customHeight="1">
      <c r="A41" s="42" t="s">
        <v>47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13"/>
      <c r="AA41" s="12"/>
      <c r="AB41" s="1"/>
    </row>
    <row r="42" spans="1:28" ht="16.5" customHeight="1">
      <c r="A42" s="31" t="s">
        <v>48</v>
      </c>
      <c r="B42" s="64">
        <v>0</v>
      </c>
      <c r="C42" s="33">
        <v>0</v>
      </c>
      <c r="D42" s="32">
        <v>0</v>
      </c>
      <c r="E42" s="33">
        <v>0</v>
      </c>
      <c r="F42" s="37">
        <v>0</v>
      </c>
      <c r="G42" s="33">
        <v>0</v>
      </c>
      <c r="H42" s="37">
        <v>0</v>
      </c>
      <c r="I42" s="33">
        <v>0</v>
      </c>
      <c r="J42" s="37">
        <v>0</v>
      </c>
      <c r="K42" s="33">
        <v>0</v>
      </c>
      <c r="L42" s="37">
        <v>0</v>
      </c>
      <c r="M42" s="33">
        <v>0</v>
      </c>
      <c r="N42" s="37">
        <v>0</v>
      </c>
      <c r="O42" s="33">
        <v>0</v>
      </c>
      <c r="P42" s="37">
        <v>0</v>
      </c>
      <c r="Q42" s="33">
        <v>0</v>
      </c>
      <c r="R42" s="37">
        <v>0</v>
      </c>
      <c r="S42" s="33">
        <v>0</v>
      </c>
      <c r="T42" s="37">
        <v>0</v>
      </c>
      <c r="U42" s="33">
        <v>0</v>
      </c>
      <c r="V42" s="37">
        <v>0</v>
      </c>
      <c r="W42" s="43">
        <v>0</v>
      </c>
      <c r="X42" s="37">
        <f>T42</f>
        <v>0</v>
      </c>
      <c r="Y42" s="33">
        <v>0</v>
      </c>
      <c r="Z42" s="13">
        <f>SUM(B42,D42,F42,H42,J42,L42,N42,P42,R42,T42,V42,X42)</f>
        <v>0</v>
      </c>
      <c r="AA42" s="14">
        <f t="shared" ref="AA42:AA43" si="20">SUM(C42,E42,G42,I42,K42,M42,O42,Q42,S42,U42,W42,Y42)</f>
        <v>0</v>
      </c>
      <c r="AB42" s="1"/>
    </row>
    <row r="43" spans="1:28" ht="16.5" customHeight="1">
      <c r="A43" s="31" t="s">
        <v>49</v>
      </c>
      <c r="B43" s="64">
        <v>0</v>
      </c>
      <c r="C43" s="43">
        <v>0</v>
      </c>
      <c r="D43" s="38">
        <v>0</v>
      </c>
      <c r="E43" s="43">
        <v>0</v>
      </c>
      <c r="F43" s="38">
        <v>0</v>
      </c>
      <c r="G43" s="43">
        <v>0</v>
      </c>
      <c r="H43" s="38">
        <v>0</v>
      </c>
      <c r="I43" s="43">
        <v>0</v>
      </c>
      <c r="J43" s="38">
        <v>0</v>
      </c>
      <c r="K43" s="43">
        <v>0</v>
      </c>
      <c r="L43" s="38">
        <v>0</v>
      </c>
      <c r="M43" s="43">
        <v>0</v>
      </c>
      <c r="N43" s="38">
        <v>0</v>
      </c>
      <c r="O43" s="43">
        <v>0</v>
      </c>
      <c r="P43" s="38">
        <v>0</v>
      </c>
      <c r="Q43" s="43">
        <v>0</v>
      </c>
      <c r="R43" s="38">
        <v>0</v>
      </c>
      <c r="S43" s="43">
        <v>0</v>
      </c>
      <c r="T43" s="38">
        <v>0</v>
      </c>
      <c r="U43" s="43">
        <v>0</v>
      </c>
      <c r="V43" s="38">
        <v>0</v>
      </c>
      <c r="W43" s="43">
        <v>0</v>
      </c>
      <c r="X43" s="38">
        <v>0</v>
      </c>
      <c r="Y43" s="43">
        <v>0</v>
      </c>
      <c r="Z43" s="13">
        <f>SUM(B43,D43,F43,H43,J43,L43,N43,P43,R43,T43,V43,X43)</f>
        <v>0</v>
      </c>
      <c r="AA43" s="14">
        <f t="shared" si="20"/>
        <v>0</v>
      </c>
      <c r="AB43" s="1"/>
    </row>
    <row r="44" spans="1:28" ht="16.5" customHeight="1">
      <c r="A44" s="42" t="s">
        <v>50</v>
      </c>
      <c r="B44" s="41">
        <f t="shared" ref="B44:AA44" si="21">SUM(B42:B43)</f>
        <v>0</v>
      </c>
      <c r="C44" s="44">
        <f t="shared" si="21"/>
        <v>0</v>
      </c>
      <c r="D44" s="41">
        <f t="shared" si="21"/>
        <v>0</v>
      </c>
      <c r="E44" s="44">
        <f t="shared" si="21"/>
        <v>0</v>
      </c>
      <c r="F44" s="41">
        <f t="shared" si="21"/>
        <v>0</v>
      </c>
      <c r="G44" s="44">
        <f t="shared" si="21"/>
        <v>0</v>
      </c>
      <c r="H44" s="41">
        <f t="shared" si="21"/>
        <v>0</v>
      </c>
      <c r="I44" s="44">
        <f t="shared" si="21"/>
        <v>0</v>
      </c>
      <c r="J44" s="41">
        <f t="shared" si="21"/>
        <v>0</v>
      </c>
      <c r="K44" s="44">
        <f t="shared" si="21"/>
        <v>0</v>
      </c>
      <c r="L44" s="41">
        <f t="shared" si="21"/>
        <v>0</v>
      </c>
      <c r="M44" s="44">
        <f t="shared" si="21"/>
        <v>0</v>
      </c>
      <c r="N44" s="41">
        <f t="shared" si="21"/>
        <v>0</v>
      </c>
      <c r="O44" s="44">
        <f t="shared" si="21"/>
        <v>0</v>
      </c>
      <c r="P44" s="41">
        <f t="shared" si="21"/>
        <v>0</v>
      </c>
      <c r="Q44" s="44">
        <f t="shared" si="21"/>
        <v>0</v>
      </c>
      <c r="R44" s="41">
        <f t="shared" si="21"/>
        <v>0</v>
      </c>
      <c r="S44" s="44">
        <f t="shared" si="21"/>
        <v>0</v>
      </c>
      <c r="T44" s="41">
        <f t="shared" si="21"/>
        <v>0</v>
      </c>
      <c r="U44" s="44">
        <f t="shared" si="21"/>
        <v>0</v>
      </c>
      <c r="V44" s="41">
        <f t="shared" si="21"/>
        <v>0</v>
      </c>
      <c r="W44" s="44">
        <f t="shared" si="21"/>
        <v>0</v>
      </c>
      <c r="X44" s="41">
        <f t="shared" si="21"/>
        <v>0</v>
      </c>
      <c r="Y44" s="44">
        <f t="shared" si="21"/>
        <v>0</v>
      </c>
      <c r="Z44" s="41">
        <f t="shared" si="21"/>
        <v>0</v>
      </c>
      <c r="AA44" s="44">
        <f t="shared" si="21"/>
        <v>0</v>
      </c>
      <c r="AB44" s="1"/>
    </row>
    <row r="45" spans="1:28" ht="16.5" customHeight="1">
      <c r="A45" s="4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1"/>
    </row>
    <row r="46" spans="1:28" ht="16.5" customHeight="1">
      <c r="A46" s="40" t="s">
        <v>51</v>
      </c>
      <c r="B46" s="45">
        <f t="shared" ref="B46:AA46" si="22">B44+B39</f>
        <v>0</v>
      </c>
      <c r="C46" s="45">
        <f t="shared" si="22"/>
        <v>0</v>
      </c>
      <c r="D46" s="45">
        <f t="shared" si="22"/>
        <v>0</v>
      </c>
      <c r="E46" s="45">
        <f t="shared" si="22"/>
        <v>0</v>
      </c>
      <c r="F46" s="45">
        <f t="shared" si="22"/>
        <v>0</v>
      </c>
      <c r="G46" s="45">
        <f t="shared" si="22"/>
        <v>0</v>
      </c>
      <c r="H46" s="45">
        <f t="shared" si="22"/>
        <v>0</v>
      </c>
      <c r="I46" s="45">
        <f t="shared" si="22"/>
        <v>0</v>
      </c>
      <c r="J46" s="45">
        <f t="shared" si="22"/>
        <v>0</v>
      </c>
      <c r="K46" s="45">
        <f t="shared" si="22"/>
        <v>0</v>
      </c>
      <c r="L46" s="45">
        <f t="shared" si="22"/>
        <v>0</v>
      </c>
      <c r="M46" s="45">
        <f t="shared" si="22"/>
        <v>0</v>
      </c>
      <c r="N46" s="45">
        <f t="shared" si="22"/>
        <v>0</v>
      </c>
      <c r="O46" s="45">
        <f t="shared" si="22"/>
        <v>0</v>
      </c>
      <c r="P46" s="45">
        <f t="shared" si="22"/>
        <v>0</v>
      </c>
      <c r="Q46" s="45">
        <f t="shared" si="22"/>
        <v>0</v>
      </c>
      <c r="R46" s="45">
        <f t="shared" si="22"/>
        <v>0</v>
      </c>
      <c r="S46" s="45">
        <f t="shared" si="22"/>
        <v>0</v>
      </c>
      <c r="T46" s="45">
        <f t="shared" si="22"/>
        <v>0</v>
      </c>
      <c r="U46" s="45">
        <f t="shared" si="22"/>
        <v>0</v>
      </c>
      <c r="V46" s="45">
        <f t="shared" si="22"/>
        <v>0</v>
      </c>
      <c r="W46" s="45">
        <f t="shared" si="22"/>
        <v>0</v>
      </c>
      <c r="X46" s="45">
        <f t="shared" si="22"/>
        <v>0</v>
      </c>
      <c r="Y46" s="45">
        <f t="shared" si="22"/>
        <v>0</v>
      </c>
      <c r="Z46" s="45">
        <f t="shared" si="22"/>
        <v>0</v>
      </c>
      <c r="AA46" s="45">
        <f t="shared" si="22"/>
        <v>0</v>
      </c>
      <c r="AB46" s="1"/>
    </row>
    <row r="47" spans="1:28" ht="16.5" customHeight="1">
      <c r="A47" s="42"/>
      <c r="B47" s="45"/>
      <c r="C47" s="45"/>
      <c r="D47" s="45"/>
      <c r="E47" s="45"/>
      <c r="F47" s="45"/>
      <c r="G47" s="45"/>
      <c r="H47" s="41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1"/>
      <c r="Y47" s="45"/>
      <c r="Z47" s="13"/>
      <c r="AA47" s="14"/>
      <c r="AB47" s="1"/>
    </row>
    <row r="48" spans="1:28" ht="16.5" customHeight="1">
      <c r="A48" s="40" t="s">
        <v>52</v>
      </c>
      <c r="B48" s="45"/>
      <c r="C48" s="45"/>
      <c r="D48" s="45"/>
      <c r="E48" s="45"/>
      <c r="F48" s="45"/>
      <c r="G48" s="45"/>
      <c r="H48" s="41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1"/>
      <c r="Y48" s="45"/>
      <c r="Z48" s="13"/>
      <c r="AA48" s="14"/>
      <c r="AB48" s="1"/>
    </row>
    <row r="49" spans="1:28" ht="16.5" customHeight="1">
      <c r="A49" s="31" t="s">
        <v>53</v>
      </c>
      <c r="B49" s="32">
        <f t="shared" ref="B49:AA49" si="23">(B39*3)/23</f>
        <v>0</v>
      </c>
      <c r="C49" s="43">
        <f t="shared" si="23"/>
        <v>0</v>
      </c>
      <c r="D49" s="32">
        <f t="shared" si="23"/>
        <v>0</v>
      </c>
      <c r="E49" s="43">
        <f t="shared" si="23"/>
        <v>0</v>
      </c>
      <c r="F49" s="32">
        <f t="shared" si="23"/>
        <v>0</v>
      </c>
      <c r="G49" s="43">
        <f t="shared" si="23"/>
        <v>0</v>
      </c>
      <c r="H49" s="32">
        <f t="shared" si="23"/>
        <v>0</v>
      </c>
      <c r="I49" s="43">
        <f t="shared" si="23"/>
        <v>0</v>
      </c>
      <c r="J49" s="32">
        <f t="shared" si="23"/>
        <v>0</v>
      </c>
      <c r="K49" s="43">
        <f t="shared" si="23"/>
        <v>0</v>
      </c>
      <c r="L49" s="32">
        <f t="shared" si="23"/>
        <v>0</v>
      </c>
      <c r="M49" s="43">
        <f t="shared" si="23"/>
        <v>0</v>
      </c>
      <c r="N49" s="32">
        <f t="shared" si="23"/>
        <v>0</v>
      </c>
      <c r="O49" s="43">
        <f t="shared" si="23"/>
        <v>0</v>
      </c>
      <c r="P49" s="32">
        <f t="shared" si="23"/>
        <v>0</v>
      </c>
      <c r="Q49" s="43">
        <f t="shared" si="23"/>
        <v>0</v>
      </c>
      <c r="R49" s="32">
        <f t="shared" si="23"/>
        <v>0</v>
      </c>
      <c r="S49" s="43">
        <f t="shared" si="23"/>
        <v>0</v>
      </c>
      <c r="T49" s="32">
        <f t="shared" si="23"/>
        <v>0</v>
      </c>
      <c r="U49" s="43">
        <f t="shared" si="23"/>
        <v>0</v>
      </c>
      <c r="V49" s="32">
        <f t="shared" si="23"/>
        <v>0</v>
      </c>
      <c r="W49" s="43">
        <f t="shared" si="23"/>
        <v>0</v>
      </c>
      <c r="X49" s="32">
        <f t="shared" si="23"/>
        <v>0</v>
      </c>
      <c r="Y49" s="43">
        <f t="shared" si="23"/>
        <v>0</v>
      </c>
      <c r="Z49" s="32">
        <f t="shared" si="23"/>
        <v>0</v>
      </c>
      <c r="AA49" s="43">
        <f t="shared" si="23"/>
        <v>0</v>
      </c>
      <c r="AB49" s="1"/>
    </row>
    <row r="50" spans="1:28" ht="16.5" customHeight="1">
      <c r="A50" s="31" t="s">
        <v>54</v>
      </c>
      <c r="B50" s="37">
        <f t="shared" ref="B50:AA50" si="24">B19-B49</f>
        <v>1617.391304347826</v>
      </c>
      <c r="C50" s="33">
        <f t="shared" si="24"/>
        <v>0</v>
      </c>
      <c r="D50" s="37">
        <f t="shared" si="24"/>
        <v>313.04347826086956</v>
      </c>
      <c r="E50" s="33">
        <f t="shared" si="24"/>
        <v>0</v>
      </c>
      <c r="F50" s="37">
        <f t="shared" si="24"/>
        <v>313.04347826086956</v>
      </c>
      <c r="G50" s="33">
        <f t="shared" si="24"/>
        <v>0</v>
      </c>
      <c r="H50" s="37">
        <f t="shared" si="24"/>
        <v>313.04347826086956</v>
      </c>
      <c r="I50" s="33">
        <f t="shared" si="24"/>
        <v>0</v>
      </c>
      <c r="J50" s="37">
        <f t="shared" si="24"/>
        <v>313.04347826086956</v>
      </c>
      <c r="K50" s="33">
        <f t="shared" si="24"/>
        <v>0</v>
      </c>
      <c r="L50" s="37">
        <f t="shared" si="24"/>
        <v>313.04347826086956</v>
      </c>
      <c r="M50" s="33">
        <f t="shared" si="24"/>
        <v>0</v>
      </c>
      <c r="N50" s="37">
        <f t="shared" si="24"/>
        <v>0</v>
      </c>
      <c r="O50" s="33">
        <f t="shared" si="24"/>
        <v>0</v>
      </c>
      <c r="P50" s="37">
        <f t="shared" si="24"/>
        <v>0</v>
      </c>
      <c r="Q50" s="33">
        <f t="shared" si="24"/>
        <v>0</v>
      </c>
      <c r="R50" s="37">
        <f t="shared" si="24"/>
        <v>0</v>
      </c>
      <c r="S50" s="33">
        <f t="shared" si="24"/>
        <v>0</v>
      </c>
      <c r="T50" s="37">
        <f t="shared" si="24"/>
        <v>0</v>
      </c>
      <c r="U50" s="33">
        <f t="shared" si="24"/>
        <v>0</v>
      </c>
      <c r="V50" s="37">
        <f t="shared" si="24"/>
        <v>0</v>
      </c>
      <c r="W50" s="33">
        <f t="shared" si="24"/>
        <v>0</v>
      </c>
      <c r="X50" s="37">
        <f t="shared" si="24"/>
        <v>0</v>
      </c>
      <c r="Y50" s="33">
        <f t="shared" si="24"/>
        <v>0</v>
      </c>
      <c r="Z50" s="37">
        <f t="shared" si="24"/>
        <v>3182.608695652174</v>
      </c>
      <c r="AA50" s="33">
        <f t="shared" si="24"/>
        <v>0</v>
      </c>
      <c r="AB50" s="1"/>
    </row>
    <row r="51" spans="1:28" ht="16.5" customHeight="1">
      <c r="A51" s="31" t="s">
        <v>55</v>
      </c>
      <c r="B51" s="64">
        <v>0</v>
      </c>
      <c r="C51" s="43">
        <v>0</v>
      </c>
      <c r="D51" s="37">
        <v>0</v>
      </c>
      <c r="E51" s="43">
        <v>0</v>
      </c>
      <c r="F51" s="37">
        <v>0</v>
      </c>
      <c r="G51" s="43">
        <v>0</v>
      </c>
      <c r="H51" s="37">
        <v>0</v>
      </c>
      <c r="I51" s="43">
        <v>0</v>
      </c>
      <c r="J51" s="37">
        <v>0</v>
      </c>
      <c r="K51" s="43">
        <v>0</v>
      </c>
      <c r="L51" s="37">
        <v>0</v>
      </c>
      <c r="M51" s="43">
        <v>0</v>
      </c>
      <c r="N51" s="37">
        <v>0</v>
      </c>
      <c r="O51" s="43">
        <v>0</v>
      </c>
      <c r="P51" s="37">
        <v>0</v>
      </c>
      <c r="Q51" s="43">
        <v>0</v>
      </c>
      <c r="R51" s="37">
        <f>P51</f>
        <v>0</v>
      </c>
      <c r="S51" s="43">
        <v>0</v>
      </c>
      <c r="T51" s="37">
        <f>R51</f>
        <v>0</v>
      </c>
      <c r="U51" s="43">
        <v>0</v>
      </c>
      <c r="V51" s="37">
        <f>T51</f>
        <v>0</v>
      </c>
      <c r="W51" s="43">
        <v>0</v>
      </c>
      <c r="X51" s="37">
        <f>V51</f>
        <v>0</v>
      </c>
      <c r="Y51" s="43">
        <v>0</v>
      </c>
      <c r="Z51" s="13">
        <f t="shared" ref="Z51:Z53" si="25">SUM(L51,B51,D51,F51,H51,J51,L51,N51,P51,R51,T51,V51,X51)</f>
        <v>0</v>
      </c>
      <c r="AA51" s="35">
        <f t="shared" ref="AA51:AA54" si="26">SUM(C51,E51,G51,I51,K51,M51,O51,Q51,S51,U51,W51,Y51)</f>
        <v>0</v>
      </c>
      <c r="AB51" s="1"/>
    </row>
    <row r="52" spans="1:28" ht="16.5" customHeight="1">
      <c r="A52" s="31" t="s">
        <v>56</v>
      </c>
      <c r="B52" s="32">
        <f>B51*20%</f>
        <v>0</v>
      </c>
      <c r="C52" s="34">
        <v>0</v>
      </c>
      <c r="D52" s="32">
        <f>D51*20%</f>
        <v>0</v>
      </c>
      <c r="E52" s="43">
        <v>0</v>
      </c>
      <c r="F52" s="32">
        <f>F51*20%</f>
        <v>0</v>
      </c>
      <c r="G52" s="34">
        <v>0</v>
      </c>
      <c r="H52" s="32">
        <f>H51*20%</f>
        <v>0</v>
      </c>
      <c r="I52" s="43">
        <v>0</v>
      </c>
      <c r="J52" s="32">
        <f>J51*20%</f>
        <v>0</v>
      </c>
      <c r="K52" s="43">
        <v>0</v>
      </c>
      <c r="L52" s="32">
        <f>L51*20%</f>
        <v>0</v>
      </c>
      <c r="M52" s="43">
        <v>0</v>
      </c>
      <c r="N52" s="32">
        <f>N51*20%</f>
        <v>0</v>
      </c>
      <c r="O52" s="34">
        <v>0</v>
      </c>
      <c r="P52" s="32">
        <f>P51*20%</f>
        <v>0</v>
      </c>
      <c r="Q52" s="34">
        <v>0</v>
      </c>
      <c r="R52" s="32">
        <f>R51*20%</f>
        <v>0</v>
      </c>
      <c r="S52" s="43">
        <v>0</v>
      </c>
      <c r="T52" s="32">
        <f>T51*20%</f>
        <v>0</v>
      </c>
      <c r="U52" s="43">
        <v>0</v>
      </c>
      <c r="V52" s="32">
        <f>V51*20%</f>
        <v>0</v>
      </c>
      <c r="W52" s="43">
        <v>0</v>
      </c>
      <c r="X52" s="32">
        <f>X51*20%</f>
        <v>0</v>
      </c>
      <c r="Y52" s="34">
        <v>0</v>
      </c>
      <c r="Z52" s="13">
        <f t="shared" si="25"/>
        <v>0</v>
      </c>
      <c r="AA52" s="35">
        <f t="shared" si="26"/>
        <v>0</v>
      </c>
      <c r="AB52" s="1"/>
    </row>
    <row r="53" spans="1:28" ht="16.5" customHeight="1">
      <c r="A53" s="31" t="s">
        <v>57</v>
      </c>
      <c r="B53" s="32">
        <v>0</v>
      </c>
      <c r="C53" s="43">
        <v>0</v>
      </c>
      <c r="D53" s="37">
        <v>0</v>
      </c>
      <c r="E53" s="43">
        <v>0</v>
      </c>
      <c r="F53" s="37">
        <v>0</v>
      </c>
      <c r="G53" s="43">
        <v>0</v>
      </c>
      <c r="H53" s="37">
        <v>0</v>
      </c>
      <c r="I53" s="43">
        <v>0</v>
      </c>
      <c r="J53" s="37">
        <v>0</v>
      </c>
      <c r="K53" s="43">
        <v>0</v>
      </c>
      <c r="L53" s="38">
        <v>0</v>
      </c>
      <c r="M53" s="43">
        <v>0</v>
      </c>
      <c r="N53" s="38">
        <v>0</v>
      </c>
      <c r="O53" s="34">
        <v>0</v>
      </c>
      <c r="P53" s="38">
        <v>0</v>
      </c>
      <c r="Q53" s="43">
        <v>0</v>
      </c>
      <c r="R53" s="38">
        <v>0</v>
      </c>
      <c r="S53" s="43">
        <v>0</v>
      </c>
      <c r="T53" s="38">
        <v>0</v>
      </c>
      <c r="U53" s="43">
        <v>0</v>
      </c>
      <c r="V53" s="38">
        <v>0</v>
      </c>
      <c r="W53" s="43">
        <v>0</v>
      </c>
      <c r="X53" s="38">
        <v>0</v>
      </c>
      <c r="Y53" s="43">
        <v>0</v>
      </c>
      <c r="Z53" s="13">
        <f t="shared" si="25"/>
        <v>0</v>
      </c>
      <c r="AA53" s="35">
        <f t="shared" si="26"/>
        <v>0</v>
      </c>
      <c r="AB53" s="1"/>
    </row>
    <row r="54" spans="1:28" ht="16.5" customHeight="1">
      <c r="A54" s="46" t="s">
        <v>58</v>
      </c>
      <c r="B54" s="37">
        <f>SUM(B50:B53)</f>
        <v>1617.391304347826</v>
      </c>
      <c r="C54" s="43">
        <f>SUM(C49:C53)</f>
        <v>0</v>
      </c>
      <c r="D54" s="37">
        <v>0</v>
      </c>
      <c r="E54" s="43">
        <f t="shared" ref="E54:Z54" si="27">SUM(E49:E53)</f>
        <v>0</v>
      </c>
      <c r="F54" s="37">
        <f t="shared" si="27"/>
        <v>313.04347826086956</v>
      </c>
      <c r="G54" s="43">
        <f t="shared" si="27"/>
        <v>0</v>
      </c>
      <c r="H54" s="37">
        <f t="shared" si="27"/>
        <v>313.04347826086956</v>
      </c>
      <c r="I54" s="43">
        <f t="shared" si="27"/>
        <v>0</v>
      </c>
      <c r="J54" s="37">
        <f t="shared" si="27"/>
        <v>313.04347826086956</v>
      </c>
      <c r="K54" s="43">
        <f t="shared" si="27"/>
        <v>0</v>
      </c>
      <c r="L54" s="37">
        <f t="shared" si="27"/>
        <v>313.04347826086956</v>
      </c>
      <c r="M54" s="43">
        <f t="shared" si="27"/>
        <v>0</v>
      </c>
      <c r="N54" s="37">
        <f t="shared" si="27"/>
        <v>0</v>
      </c>
      <c r="O54" s="43">
        <f t="shared" si="27"/>
        <v>0</v>
      </c>
      <c r="P54" s="37">
        <f t="shared" si="27"/>
        <v>0</v>
      </c>
      <c r="Q54" s="43">
        <f t="shared" si="27"/>
        <v>0</v>
      </c>
      <c r="R54" s="37">
        <f t="shared" si="27"/>
        <v>0</v>
      </c>
      <c r="S54" s="43">
        <f t="shared" si="27"/>
        <v>0</v>
      </c>
      <c r="T54" s="37">
        <f t="shared" si="27"/>
        <v>0</v>
      </c>
      <c r="U54" s="43">
        <f t="shared" si="27"/>
        <v>0</v>
      </c>
      <c r="V54" s="37">
        <f t="shared" si="27"/>
        <v>0</v>
      </c>
      <c r="W54" s="43">
        <f t="shared" si="27"/>
        <v>0</v>
      </c>
      <c r="X54" s="37">
        <f t="shared" si="27"/>
        <v>0</v>
      </c>
      <c r="Y54" s="43">
        <f t="shared" si="27"/>
        <v>0</v>
      </c>
      <c r="Z54" s="37">
        <f t="shared" si="27"/>
        <v>3182.608695652174</v>
      </c>
      <c r="AA54" s="35">
        <f t="shared" si="26"/>
        <v>0</v>
      </c>
      <c r="AB54" s="1"/>
    </row>
    <row r="55" spans="1:28" ht="16.5" customHeight="1">
      <c r="A55" s="46" t="s">
        <v>59</v>
      </c>
      <c r="B55" s="47">
        <f t="shared" ref="B55:AA55" si="28">B46+B54</f>
        <v>1617.391304347826</v>
      </c>
      <c r="C55" s="48">
        <f t="shared" si="28"/>
        <v>0</v>
      </c>
      <c r="D55" s="47">
        <f t="shared" si="28"/>
        <v>0</v>
      </c>
      <c r="E55" s="48">
        <f t="shared" si="28"/>
        <v>0</v>
      </c>
      <c r="F55" s="47">
        <f t="shared" si="28"/>
        <v>313.04347826086956</v>
      </c>
      <c r="G55" s="48">
        <f t="shared" si="28"/>
        <v>0</v>
      </c>
      <c r="H55" s="47">
        <f t="shared" si="28"/>
        <v>313.04347826086956</v>
      </c>
      <c r="I55" s="48">
        <f t="shared" si="28"/>
        <v>0</v>
      </c>
      <c r="J55" s="47">
        <f t="shared" si="28"/>
        <v>313.04347826086956</v>
      </c>
      <c r="K55" s="48">
        <f t="shared" si="28"/>
        <v>0</v>
      </c>
      <c r="L55" s="47">
        <f t="shared" si="28"/>
        <v>313.04347826086956</v>
      </c>
      <c r="M55" s="48">
        <f t="shared" si="28"/>
        <v>0</v>
      </c>
      <c r="N55" s="47">
        <f t="shared" si="28"/>
        <v>0</v>
      </c>
      <c r="O55" s="48">
        <f t="shared" si="28"/>
        <v>0</v>
      </c>
      <c r="P55" s="47">
        <f t="shared" si="28"/>
        <v>0</v>
      </c>
      <c r="Q55" s="48">
        <f t="shared" si="28"/>
        <v>0</v>
      </c>
      <c r="R55" s="47">
        <f t="shared" si="28"/>
        <v>0</v>
      </c>
      <c r="S55" s="48">
        <f t="shared" si="28"/>
        <v>0</v>
      </c>
      <c r="T55" s="47">
        <f t="shared" si="28"/>
        <v>0</v>
      </c>
      <c r="U55" s="48">
        <f t="shared" si="28"/>
        <v>0</v>
      </c>
      <c r="V55" s="47">
        <f t="shared" si="28"/>
        <v>0</v>
      </c>
      <c r="W55" s="48">
        <f t="shared" si="28"/>
        <v>0</v>
      </c>
      <c r="X55" s="47">
        <f t="shared" si="28"/>
        <v>0</v>
      </c>
      <c r="Y55" s="48">
        <f t="shared" si="28"/>
        <v>0</v>
      </c>
      <c r="Z55" s="47">
        <f t="shared" si="28"/>
        <v>3182.608695652174</v>
      </c>
      <c r="AA55" s="48">
        <f t="shared" si="28"/>
        <v>0</v>
      </c>
      <c r="AB55" s="1"/>
    </row>
    <row r="56" spans="1:28" ht="16.5" customHeight="1">
      <c r="A56" s="49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5">
        <f t="shared" ref="AA56:AA57" si="29">SUM(C56,E56,G56,I56,K56,M56,O56,Q56,S56,U56,W56,Y56)</f>
        <v>0</v>
      </c>
      <c r="AB56" s="1"/>
    </row>
    <row r="57" spans="1:28" ht="16.5" customHeight="1">
      <c r="A57" s="46" t="s">
        <v>60</v>
      </c>
      <c r="B57" s="38">
        <f t="shared" ref="B57:Z57" si="30">B12-B46</f>
        <v>2400</v>
      </c>
      <c r="C57" s="38">
        <f t="shared" si="30"/>
        <v>0</v>
      </c>
      <c r="D57" s="38">
        <f t="shared" si="30"/>
        <v>2400</v>
      </c>
      <c r="E57" s="38">
        <f t="shared" si="30"/>
        <v>0</v>
      </c>
      <c r="F57" s="38">
        <f t="shared" si="30"/>
        <v>2400</v>
      </c>
      <c r="G57" s="38">
        <f t="shared" si="30"/>
        <v>0</v>
      </c>
      <c r="H57" s="38">
        <f t="shared" si="30"/>
        <v>2400</v>
      </c>
      <c r="I57" s="38">
        <f t="shared" si="30"/>
        <v>0</v>
      </c>
      <c r="J57" s="38">
        <f t="shared" si="30"/>
        <v>2400</v>
      </c>
      <c r="K57" s="38">
        <f t="shared" si="30"/>
        <v>0</v>
      </c>
      <c r="L57" s="38">
        <f t="shared" si="30"/>
        <v>2400</v>
      </c>
      <c r="M57" s="38">
        <f t="shared" si="30"/>
        <v>0</v>
      </c>
      <c r="N57" s="38">
        <f t="shared" si="30"/>
        <v>0</v>
      </c>
      <c r="O57" s="38">
        <f t="shared" si="30"/>
        <v>0</v>
      </c>
      <c r="P57" s="38">
        <f t="shared" si="30"/>
        <v>0</v>
      </c>
      <c r="Q57" s="38">
        <f t="shared" si="30"/>
        <v>0</v>
      </c>
      <c r="R57" s="38">
        <f t="shared" si="30"/>
        <v>0</v>
      </c>
      <c r="S57" s="38">
        <f t="shared" si="30"/>
        <v>0</v>
      </c>
      <c r="T57" s="38">
        <f t="shared" si="30"/>
        <v>0</v>
      </c>
      <c r="U57" s="38">
        <f t="shared" si="30"/>
        <v>0</v>
      </c>
      <c r="V57" s="38">
        <f t="shared" si="30"/>
        <v>0</v>
      </c>
      <c r="W57" s="50">
        <f t="shared" si="30"/>
        <v>0</v>
      </c>
      <c r="X57" s="50">
        <f t="shared" si="30"/>
        <v>0</v>
      </c>
      <c r="Y57" s="50">
        <f t="shared" si="30"/>
        <v>0</v>
      </c>
      <c r="Z57" s="50">
        <f t="shared" si="30"/>
        <v>14400</v>
      </c>
      <c r="AA57" s="16">
        <f t="shared" si="29"/>
        <v>0</v>
      </c>
      <c r="AB57" s="1"/>
    </row>
    <row r="58" spans="1:28" ht="16.5" customHeight="1">
      <c r="A58" s="51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1"/>
    </row>
    <row r="59" spans="1:28" ht="16.5" customHeight="1">
      <c r="A59" s="40" t="s">
        <v>61</v>
      </c>
      <c r="B59" s="48">
        <f>B20-B55</f>
        <v>10782.608695652174</v>
      </c>
      <c r="C59" s="48">
        <f t="shared" ref="C59:AA59" si="31">C20-C46</f>
        <v>0</v>
      </c>
      <c r="D59" s="48">
        <f t="shared" si="31"/>
        <v>2400</v>
      </c>
      <c r="E59" s="48">
        <f t="shared" si="31"/>
        <v>0</v>
      </c>
      <c r="F59" s="48">
        <f t="shared" si="31"/>
        <v>2400</v>
      </c>
      <c r="G59" s="48">
        <f t="shared" si="31"/>
        <v>0</v>
      </c>
      <c r="H59" s="48">
        <f t="shared" si="31"/>
        <v>2400</v>
      </c>
      <c r="I59" s="48">
        <f t="shared" si="31"/>
        <v>0</v>
      </c>
      <c r="J59" s="48">
        <f t="shared" si="31"/>
        <v>2400</v>
      </c>
      <c r="K59" s="48">
        <f t="shared" si="31"/>
        <v>0</v>
      </c>
      <c r="L59" s="48">
        <f t="shared" si="31"/>
        <v>2400</v>
      </c>
      <c r="M59" s="48">
        <f t="shared" si="31"/>
        <v>0</v>
      </c>
      <c r="N59" s="48">
        <f t="shared" si="31"/>
        <v>0</v>
      </c>
      <c r="O59" s="48">
        <f t="shared" si="31"/>
        <v>0</v>
      </c>
      <c r="P59" s="48">
        <f t="shared" si="31"/>
        <v>0</v>
      </c>
      <c r="Q59" s="48">
        <f t="shared" si="31"/>
        <v>0</v>
      </c>
      <c r="R59" s="48">
        <f t="shared" si="31"/>
        <v>0</v>
      </c>
      <c r="S59" s="48">
        <f t="shared" si="31"/>
        <v>0</v>
      </c>
      <c r="T59" s="48">
        <f t="shared" si="31"/>
        <v>0</v>
      </c>
      <c r="U59" s="48">
        <f t="shared" si="31"/>
        <v>0</v>
      </c>
      <c r="V59" s="48">
        <f t="shared" si="31"/>
        <v>0</v>
      </c>
      <c r="W59" s="48">
        <f t="shared" si="31"/>
        <v>0</v>
      </c>
      <c r="X59" s="48">
        <f t="shared" si="31"/>
        <v>0</v>
      </c>
      <c r="Y59" s="48">
        <f t="shared" si="31"/>
        <v>0</v>
      </c>
      <c r="Z59" s="52">
        <f t="shared" si="31"/>
        <v>24400</v>
      </c>
      <c r="AA59" s="48">
        <f t="shared" si="31"/>
        <v>0</v>
      </c>
      <c r="AB59" s="1"/>
    </row>
    <row r="60" spans="1:28" ht="16.5" customHeight="1">
      <c r="A60" s="53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19"/>
      <c r="AA60" s="54"/>
      <c r="AB60" s="1"/>
    </row>
    <row r="61" spans="1:28" ht="16.5" customHeight="1">
      <c r="A61" s="40" t="s">
        <v>62</v>
      </c>
      <c r="B61" s="48">
        <v>0</v>
      </c>
      <c r="C61" s="44">
        <v>0</v>
      </c>
      <c r="D61" s="44">
        <f t="shared" ref="D61:AA61" si="32">B63</f>
        <v>10782.608695652174</v>
      </c>
      <c r="E61" s="44">
        <f t="shared" si="32"/>
        <v>0</v>
      </c>
      <c r="F61" s="44">
        <f t="shared" si="32"/>
        <v>13182.608695652174</v>
      </c>
      <c r="G61" s="44">
        <f t="shared" si="32"/>
        <v>0</v>
      </c>
      <c r="H61" s="44">
        <f t="shared" si="32"/>
        <v>15582.608695652174</v>
      </c>
      <c r="I61" s="44">
        <f t="shared" si="32"/>
        <v>0</v>
      </c>
      <c r="J61" s="44">
        <f t="shared" si="32"/>
        <v>17982.608695652176</v>
      </c>
      <c r="K61" s="44">
        <f t="shared" si="32"/>
        <v>0</v>
      </c>
      <c r="L61" s="44">
        <f t="shared" si="32"/>
        <v>20382.608695652176</v>
      </c>
      <c r="M61" s="44">
        <f t="shared" si="32"/>
        <v>0</v>
      </c>
      <c r="N61" s="44">
        <f t="shared" si="32"/>
        <v>22782.608695652176</v>
      </c>
      <c r="O61" s="44">
        <f t="shared" si="32"/>
        <v>0</v>
      </c>
      <c r="P61" s="44">
        <f t="shared" si="32"/>
        <v>22782.608695652176</v>
      </c>
      <c r="Q61" s="44">
        <f t="shared" si="32"/>
        <v>0</v>
      </c>
      <c r="R61" s="44">
        <f t="shared" si="32"/>
        <v>22782.608695652176</v>
      </c>
      <c r="S61" s="44">
        <f t="shared" si="32"/>
        <v>0</v>
      </c>
      <c r="T61" s="44">
        <f t="shared" si="32"/>
        <v>22782.608695652176</v>
      </c>
      <c r="U61" s="44">
        <f t="shared" si="32"/>
        <v>0</v>
      </c>
      <c r="V61" s="44">
        <f t="shared" si="32"/>
        <v>22782.608695652176</v>
      </c>
      <c r="W61" s="44">
        <f t="shared" si="32"/>
        <v>0</v>
      </c>
      <c r="X61" s="44">
        <f t="shared" si="32"/>
        <v>22782.608695652176</v>
      </c>
      <c r="Y61" s="44">
        <f t="shared" si="32"/>
        <v>0</v>
      </c>
      <c r="Z61" s="44">
        <f t="shared" si="32"/>
        <v>22782.608695652176</v>
      </c>
      <c r="AA61" s="44">
        <f t="shared" si="32"/>
        <v>0</v>
      </c>
      <c r="AB61" s="1"/>
    </row>
    <row r="62" spans="1:28" ht="16.5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7"/>
      <c r="AA62" s="56"/>
      <c r="AB62" s="1"/>
    </row>
    <row r="63" spans="1:28" ht="16.5" customHeight="1">
      <c r="A63" s="40" t="s">
        <v>63</v>
      </c>
      <c r="B63" s="44">
        <f>B59+B61</f>
        <v>10782.608695652174</v>
      </c>
      <c r="C63" s="44">
        <f>C61+C59</f>
        <v>0</v>
      </c>
      <c r="D63" s="44">
        <f>D59+D61</f>
        <v>13182.608695652174</v>
      </c>
      <c r="E63" s="44">
        <f t="shared" ref="E63:AA63" si="33">E61+E59</f>
        <v>0</v>
      </c>
      <c r="F63" s="44">
        <f t="shared" si="33"/>
        <v>15582.608695652174</v>
      </c>
      <c r="G63" s="44">
        <f t="shared" si="33"/>
        <v>0</v>
      </c>
      <c r="H63" s="44">
        <f t="shared" si="33"/>
        <v>17982.608695652176</v>
      </c>
      <c r="I63" s="44">
        <f t="shared" si="33"/>
        <v>0</v>
      </c>
      <c r="J63" s="44">
        <f t="shared" si="33"/>
        <v>20382.608695652176</v>
      </c>
      <c r="K63" s="44">
        <f t="shared" si="33"/>
        <v>0</v>
      </c>
      <c r="L63" s="44">
        <f t="shared" si="33"/>
        <v>22782.608695652176</v>
      </c>
      <c r="M63" s="44">
        <f t="shared" si="33"/>
        <v>0</v>
      </c>
      <c r="N63" s="44">
        <f t="shared" si="33"/>
        <v>22782.608695652176</v>
      </c>
      <c r="O63" s="44">
        <f t="shared" si="33"/>
        <v>0</v>
      </c>
      <c r="P63" s="44">
        <f t="shared" si="33"/>
        <v>22782.608695652176</v>
      </c>
      <c r="Q63" s="44">
        <f t="shared" si="33"/>
        <v>0</v>
      </c>
      <c r="R63" s="44">
        <f t="shared" si="33"/>
        <v>22782.608695652176</v>
      </c>
      <c r="S63" s="44">
        <f t="shared" si="33"/>
        <v>0</v>
      </c>
      <c r="T63" s="44">
        <f t="shared" si="33"/>
        <v>22782.608695652176</v>
      </c>
      <c r="U63" s="44">
        <f t="shared" si="33"/>
        <v>0</v>
      </c>
      <c r="V63" s="44">
        <f t="shared" si="33"/>
        <v>22782.608695652176</v>
      </c>
      <c r="W63" s="44">
        <f t="shared" si="33"/>
        <v>0</v>
      </c>
      <c r="X63" s="44">
        <f t="shared" si="33"/>
        <v>22782.608695652176</v>
      </c>
      <c r="Y63" s="44">
        <f t="shared" si="33"/>
        <v>0</v>
      </c>
      <c r="Z63" s="58">
        <f t="shared" si="33"/>
        <v>47182.608695652176</v>
      </c>
      <c r="AA63" s="44">
        <f t="shared" si="33"/>
        <v>0</v>
      </c>
      <c r="AB63" s="1"/>
    </row>
    <row r="64" spans="1:28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"/>
      <c r="AA64" s="1"/>
      <c r="AB64" s="1"/>
    </row>
    <row r="65" spans="1:28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6.5" customHeight="1">
      <c r="Z287" s="1"/>
      <c r="AA287" s="1"/>
      <c r="AB287" s="1"/>
    </row>
    <row r="288" spans="1:28" ht="16.5" customHeight="1">
      <c r="Z288" s="1"/>
      <c r="AA288" s="1"/>
      <c r="AB288" s="1"/>
    </row>
    <row r="289" spans="26:28" ht="16.5" customHeight="1">
      <c r="Z289" s="1"/>
      <c r="AA289" s="1"/>
      <c r="AB289" s="1"/>
    </row>
    <row r="290" spans="26:28" ht="16.5" customHeight="1">
      <c r="Z290" s="1"/>
      <c r="AA290" s="1"/>
      <c r="AB290" s="1"/>
    </row>
    <row r="291" spans="26:28" ht="16.5" customHeight="1">
      <c r="Z291" s="1"/>
      <c r="AA291" s="1"/>
      <c r="AB291" s="1"/>
    </row>
    <row r="292" spans="26:28" ht="16.5" customHeight="1">
      <c r="Z292" s="1"/>
      <c r="AA292" s="1"/>
      <c r="AB292" s="1"/>
    </row>
    <row r="293" spans="26:28" ht="16.5" customHeight="1">
      <c r="Z293" s="1"/>
      <c r="AA293" s="1"/>
      <c r="AB293" s="1"/>
    </row>
    <row r="294" spans="26:28" ht="16.5" customHeight="1">
      <c r="Z294" s="1"/>
      <c r="AA294" s="1"/>
      <c r="AB294" s="1"/>
    </row>
    <row r="295" spans="26:28" ht="16.5" customHeight="1">
      <c r="Z295" s="1"/>
      <c r="AA295" s="1"/>
      <c r="AB295" s="1"/>
    </row>
    <row r="296" spans="26:28" ht="16.5" customHeight="1">
      <c r="Z296" s="1"/>
      <c r="AA296" s="1"/>
      <c r="AB296" s="1"/>
    </row>
    <row r="297" spans="26:28" ht="16.5" customHeight="1">
      <c r="Z297" s="1"/>
      <c r="AA297" s="1"/>
      <c r="AB297" s="1"/>
    </row>
    <row r="298" spans="26:28" ht="16.5" customHeight="1">
      <c r="Z298" s="1"/>
      <c r="AA298" s="1"/>
      <c r="AB298" s="1"/>
    </row>
    <row r="299" spans="26:28" ht="16.5" customHeight="1">
      <c r="Z299" s="1"/>
      <c r="AA299" s="1"/>
      <c r="AB299" s="1"/>
    </row>
    <row r="300" spans="26:28" ht="16.5" customHeight="1">
      <c r="Z300" s="1"/>
      <c r="AA300" s="1"/>
      <c r="AB300" s="1"/>
    </row>
    <row r="301" spans="26:28" ht="16.5" customHeight="1">
      <c r="Z301" s="1"/>
      <c r="AA301" s="1"/>
      <c r="AB301" s="1"/>
    </row>
    <row r="302" spans="26:28" ht="16.5" customHeight="1">
      <c r="Z302" s="1"/>
      <c r="AA302" s="1"/>
      <c r="AB302" s="1"/>
    </row>
    <row r="303" spans="26:28" ht="16.5" customHeight="1">
      <c r="Z303" s="1"/>
      <c r="AA303" s="1"/>
      <c r="AB303" s="1"/>
    </row>
    <row r="304" spans="26:28" ht="16.5" customHeight="1">
      <c r="Z304" s="1"/>
      <c r="AA304" s="1"/>
      <c r="AB304" s="1"/>
    </row>
    <row r="305" spans="26:28" ht="16.5" customHeight="1">
      <c r="Z305" s="1"/>
      <c r="AA305" s="1"/>
      <c r="AB305" s="1"/>
    </row>
    <row r="306" spans="26:28" ht="16.5" customHeight="1">
      <c r="Z306" s="1"/>
      <c r="AA306" s="1"/>
      <c r="AB306" s="1"/>
    </row>
    <row r="307" spans="26:28" ht="16.5" customHeight="1">
      <c r="Z307" s="1"/>
      <c r="AA307" s="1"/>
      <c r="AB307" s="1"/>
    </row>
    <row r="308" spans="26:28" ht="16.5" customHeight="1">
      <c r="Z308" s="1"/>
      <c r="AA308" s="1"/>
      <c r="AB308" s="1"/>
    </row>
    <row r="309" spans="26:28" ht="16.5" customHeight="1">
      <c r="Z309" s="1"/>
      <c r="AA309" s="1"/>
      <c r="AB309" s="1"/>
    </row>
    <row r="310" spans="26:28" ht="16.5" customHeight="1">
      <c r="Z310" s="1"/>
      <c r="AA310" s="1"/>
      <c r="AB310" s="1"/>
    </row>
    <row r="311" spans="26:28" ht="16.5" customHeight="1">
      <c r="Z311" s="1"/>
      <c r="AA311" s="1"/>
      <c r="AB311" s="1"/>
    </row>
    <row r="312" spans="26:28" ht="16.5" customHeight="1">
      <c r="Z312" s="1"/>
      <c r="AA312" s="1"/>
      <c r="AB312" s="1"/>
    </row>
    <row r="313" spans="26:28" ht="16.5" customHeight="1">
      <c r="Z313" s="1"/>
      <c r="AA313" s="1"/>
      <c r="AB313" s="1"/>
    </row>
    <row r="314" spans="26:28" ht="16.5" customHeight="1">
      <c r="Z314" s="1"/>
      <c r="AA314" s="1"/>
      <c r="AB314" s="1"/>
    </row>
    <row r="315" spans="26:28" ht="16.5" customHeight="1">
      <c r="Z315" s="1"/>
      <c r="AA315" s="1"/>
      <c r="AB315" s="1"/>
    </row>
    <row r="316" spans="26:28" ht="16.5" customHeight="1">
      <c r="Z316" s="1"/>
      <c r="AA316" s="1"/>
      <c r="AB316" s="1"/>
    </row>
    <row r="317" spans="26:28" ht="16.5" customHeight="1">
      <c r="Z317" s="1"/>
      <c r="AA317" s="1"/>
      <c r="AB317" s="1"/>
    </row>
    <row r="318" spans="26:28" ht="16.5" customHeight="1">
      <c r="Z318" s="1"/>
      <c r="AA318" s="1"/>
      <c r="AB318" s="1"/>
    </row>
    <row r="319" spans="26:28" ht="16.5" customHeight="1">
      <c r="Z319" s="1"/>
      <c r="AA319" s="1"/>
      <c r="AB319" s="1"/>
    </row>
    <row r="320" spans="26:28" ht="16.5" customHeight="1">
      <c r="Z320" s="1"/>
      <c r="AA320" s="1"/>
      <c r="AB320" s="1"/>
    </row>
    <row r="321" spans="26:28" ht="16.5" customHeight="1">
      <c r="Z321" s="1"/>
      <c r="AA321" s="1"/>
      <c r="AB321" s="1"/>
    </row>
    <row r="322" spans="26:28" ht="16.5" customHeight="1">
      <c r="Z322" s="1"/>
      <c r="AA322" s="1"/>
      <c r="AB322" s="1"/>
    </row>
    <row r="323" spans="26:28" ht="16.5" customHeight="1">
      <c r="Z323" s="1"/>
      <c r="AA323" s="1"/>
      <c r="AB323" s="1"/>
    </row>
    <row r="324" spans="26:28" ht="16.5" customHeight="1">
      <c r="Z324" s="1"/>
      <c r="AA324" s="1"/>
      <c r="AB324" s="1"/>
    </row>
    <row r="325" spans="26:28" ht="16.5" customHeight="1">
      <c r="Z325" s="1"/>
      <c r="AA325" s="1"/>
      <c r="AB325" s="1"/>
    </row>
    <row r="326" spans="26:28" ht="16.5" customHeight="1">
      <c r="Z326" s="1"/>
      <c r="AA326" s="1"/>
      <c r="AB326" s="1"/>
    </row>
    <row r="327" spans="26:28" ht="16.5" customHeight="1">
      <c r="Z327" s="1"/>
      <c r="AA327" s="1"/>
      <c r="AB327" s="1"/>
    </row>
    <row r="328" spans="26:28" ht="16.5" customHeight="1">
      <c r="Z328" s="1"/>
      <c r="AA328" s="1"/>
      <c r="AB328" s="1"/>
    </row>
    <row r="329" spans="26:28" ht="16.5" customHeight="1">
      <c r="Z329" s="1"/>
      <c r="AA329" s="1"/>
      <c r="AB329" s="1"/>
    </row>
    <row r="330" spans="26:28" ht="16.5" customHeight="1">
      <c r="Z330" s="1"/>
      <c r="AA330" s="1"/>
      <c r="AB330" s="1"/>
    </row>
    <row r="331" spans="26:28" ht="16.5" customHeight="1">
      <c r="Z331" s="1"/>
      <c r="AA331" s="1"/>
      <c r="AB331" s="1"/>
    </row>
    <row r="332" spans="26:28" ht="16.5" customHeight="1">
      <c r="Z332" s="1"/>
      <c r="AA332" s="1"/>
      <c r="AB332" s="1"/>
    </row>
    <row r="333" spans="26:28" ht="16.5" customHeight="1">
      <c r="Z333" s="1"/>
      <c r="AA333" s="1"/>
      <c r="AB333" s="1"/>
    </row>
    <row r="334" spans="26:28" ht="16.5" customHeight="1">
      <c r="Z334" s="1"/>
      <c r="AA334" s="1"/>
      <c r="AB334" s="1"/>
    </row>
    <row r="335" spans="26:28" ht="16.5" customHeight="1">
      <c r="Z335" s="1"/>
      <c r="AA335" s="1"/>
      <c r="AB335" s="1"/>
    </row>
    <row r="336" spans="26:28" ht="16.5" customHeight="1">
      <c r="Z336" s="1"/>
      <c r="AA336" s="1"/>
      <c r="AB336" s="1"/>
    </row>
    <row r="337" spans="26:28" ht="16.5" customHeight="1">
      <c r="Z337" s="1"/>
      <c r="AA337" s="1"/>
      <c r="AB337" s="1"/>
    </row>
    <row r="338" spans="26:28" ht="16.5" customHeight="1">
      <c r="Z338" s="1"/>
      <c r="AA338" s="1"/>
      <c r="AB338" s="1"/>
    </row>
    <row r="339" spans="26:28" ht="16.5" customHeight="1">
      <c r="Z339" s="1"/>
      <c r="AA339" s="1"/>
      <c r="AB339" s="1"/>
    </row>
    <row r="340" spans="26:28" ht="16.5" customHeight="1">
      <c r="Z340" s="1"/>
      <c r="AA340" s="1"/>
      <c r="AB340" s="1"/>
    </row>
    <row r="341" spans="26:28" ht="16.5" customHeight="1">
      <c r="Z341" s="1"/>
      <c r="AA341" s="1"/>
      <c r="AB341" s="1"/>
    </row>
    <row r="342" spans="26:28" ht="16.5" customHeight="1">
      <c r="Z342" s="1"/>
      <c r="AA342" s="1"/>
      <c r="AB342" s="1"/>
    </row>
    <row r="343" spans="26:28" ht="16.5" customHeight="1">
      <c r="Z343" s="1"/>
      <c r="AA343" s="1"/>
      <c r="AB343" s="1"/>
    </row>
    <row r="344" spans="26:28" ht="16.5" customHeight="1">
      <c r="Z344" s="1"/>
      <c r="AA344" s="1"/>
      <c r="AB344" s="1"/>
    </row>
    <row r="345" spans="26:28" ht="16.5" customHeight="1">
      <c r="Z345" s="1"/>
      <c r="AA345" s="1"/>
      <c r="AB345" s="1"/>
    </row>
    <row r="346" spans="26:28" ht="16.5" customHeight="1">
      <c r="Z346" s="1"/>
      <c r="AA346" s="1"/>
      <c r="AB346" s="1"/>
    </row>
    <row r="347" spans="26:28" ht="16.5" customHeight="1">
      <c r="Z347" s="1"/>
      <c r="AA347" s="1"/>
      <c r="AB347" s="1"/>
    </row>
    <row r="348" spans="26:28" ht="16.5" customHeight="1">
      <c r="Z348" s="1"/>
      <c r="AA348" s="1"/>
      <c r="AB348" s="1"/>
    </row>
    <row r="349" spans="26:28" ht="16.5" customHeight="1">
      <c r="Z349" s="1"/>
      <c r="AA349" s="1"/>
      <c r="AB349" s="1"/>
    </row>
    <row r="350" spans="26:28" ht="16.5" customHeight="1">
      <c r="Z350" s="1"/>
      <c r="AA350" s="1"/>
      <c r="AB350" s="1"/>
    </row>
    <row r="351" spans="26:28" ht="16.5" customHeight="1">
      <c r="Z351" s="1"/>
      <c r="AA351" s="1"/>
      <c r="AB351" s="1"/>
    </row>
    <row r="352" spans="26:28" ht="16.5" customHeight="1">
      <c r="Z352" s="1"/>
      <c r="AA352" s="1"/>
      <c r="AB352" s="1"/>
    </row>
    <row r="353" spans="26:28" ht="16.5" customHeight="1">
      <c r="Z353" s="1"/>
      <c r="AA353" s="1"/>
      <c r="AB353" s="1"/>
    </row>
    <row r="354" spans="26:28" ht="16.5" customHeight="1">
      <c r="Z354" s="1"/>
      <c r="AA354" s="1"/>
      <c r="AB354" s="1"/>
    </row>
    <row r="355" spans="26:28" ht="16.5" customHeight="1">
      <c r="Z355" s="1"/>
      <c r="AA355" s="1"/>
      <c r="AB355" s="1"/>
    </row>
    <row r="356" spans="26:28" ht="16.5" customHeight="1">
      <c r="Z356" s="1"/>
      <c r="AA356" s="1"/>
      <c r="AB356" s="1"/>
    </row>
    <row r="357" spans="26:28" ht="16.5" customHeight="1">
      <c r="Z357" s="1"/>
      <c r="AA357" s="1"/>
      <c r="AB357" s="1"/>
    </row>
    <row r="358" spans="26:28" ht="16.5" customHeight="1">
      <c r="Z358" s="1"/>
      <c r="AA358" s="1"/>
      <c r="AB358" s="1"/>
    </row>
    <row r="359" spans="26:28" ht="16.5" customHeight="1">
      <c r="Z359" s="1"/>
      <c r="AA359" s="1"/>
      <c r="AB359" s="1"/>
    </row>
    <row r="360" spans="26:28" ht="16.5" customHeight="1">
      <c r="Z360" s="1"/>
      <c r="AA360" s="1"/>
      <c r="AB360" s="1"/>
    </row>
    <row r="361" spans="26:28" ht="16.5" customHeight="1">
      <c r="Z361" s="1"/>
      <c r="AA361" s="1"/>
      <c r="AB361" s="1"/>
    </row>
    <row r="362" spans="26:28" ht="16.5" customHeight="1">
      <c r="Z362" s="1"/>
      <c r="AA362" s="1"/>
      <c r="AB362" s="1"/>
    </row>
    <row r="363" spans="26:28" ht="16.5" customHeight="1">
      <c r="Z363" s="1"/>
      <c r="AA363" s="1"/>
      <c r="AB363" s="1"/>
    </row>
    <row r="364" spans="26:28" ht="16.5" customHeight="1">
      <c r="Z364" s="1"/>
      <c r="AA364" s="1"/>
      <c r="AB364" s="1"/>
    </row>
    <row r="365" spans="26:28" ht="16.5" customHeight="1">
      <c r="Z365" s="1"/>
      <c r="AA365" s="1"/>
      <c r="AB365" s="1"/>
    </row>
    <row r="366" spans="26:28" ht="16.5" customHeight="1">
      <c r="Z366" s="1"/>
      <c r="AA366" s="1"/>
      <c r="AB366" s="1"/>
    </row>
    <row r="367" spans="26:28" ht="16.5" customHeight="1">
      <c r="Z367" s="1"/>
      <c r="AA367" s="1"/>
      <c r="AB367" s="1"/>
    </row>
    <row r="368" spans="26:28" ht="16.5" customHeight="1">
      <c r="Z368" s="1"/>
      <c r="AA368" s="1"/>
      <c r="AB368" s="1"/>
    </row>
    <row r="369" spans="26:28" ht="16.5" customHeight="1">
      <c r="Z369" s="1"/>
      <c r="AA369" s="1"/>
      <c r="AB369" s="1"/>
    </row>
    <row r="370" spans="26:28" ht="16.5" customHeight="1">
      <c r="Z370" s="1"/>
      <c r="AA370" s="1"/>
      <c r="AB370" s="1"/>
    </row>
    <row r="371" spans="26:28" ht="16.5" customHeight="1">
      <c r="Z371" s="1"/>
      <c r="AA371" s="1"/>
      <c r="AB371" s="1"/>
    </row>
    <row r="372" spans="26:28" ht="16.5" customHeight="1">
      <c r="Z372" s="1"/>
      <c r="AA372" s="1"/>
      <c r="AB372" s="1"/>
    </row>
    <row r="373" spans="26:28" ht="16.5" customHeight="1">
      <c r="Z373" s="1"/>
      <c r="AA373" s="1"/>
      <c r="AB373" s="1"/>
    </row>
    <row r="374" spans="26:28" ht="16.5" customHeight="1">
      <c r="Z374" s="1"/>
      <c r="AA374" s="1"/>
      <c r="AB374" s="1"/>
    </row>
    <row r="375" spans="26:28" ht="16.5" customHeight="1">
      <c r="Z375" s="1"/>
      <c r="AA375" s="1"/>
      <c r="AB375" s="1"/>
    </row>
    <row r="376" spans="26:28" ht="16.5" customHeight="1">
      <c r="Z376" s="1"/>
      <c r="AA376" s="1"/>
      <c r="AB376" s="1"/>
    </row>
    <row r="377" spans="26:28" ht="16.5" customHeight="1">
      <c r="Z377" s="1"/>
      <c r="AA377" s="1"/>
      <c r="AB377" s="1"/>
    </row>
    <row r="378" spans="26:28" ht="16.5" customHeight="1">
      <c r="Z378" s="1"/>
      <c r="AA378" s="1"/>
      <c r="AB378" s="1"/>
    </row>
    <row r="379" spans="26:28" ht="16.5" customHeight="1">
      <c r="Z379" s="1"/>
      <c r="AA379" s="1"/>
      <c r="AB379" s="1"/>
    </row>
    <row r="380" spans="26:28" ht="16.5" customHeight="1">
      <c r="Z380" s="1"/>
      <c r="AA380" s="1"/>
      <c r="AB380" s="1"/>
    </row>
    <row r="381" spans="26:28" ht="16.5" customHeight="1">
      <c r="Z381" s="1"/>
      <c r="AA381" s="1"/>
      <c r="AB381" s="1"/>
    </row>
    <row r="382" spans="26:28" ht="16.5" customHeight="1">
      <c r="Z382" s="1"/>
      <c r="AA382" s="1"/>
      <c r="AB382" s="1"/>
    </row>
    <row r="383" spans="26:28" ht="16.5" customHeight="1">
      <c r="Z383" s="1"/>
      <c r="AA383" s="1"/>
      <c r="AB383" s="1"/>
    </row>
    <row r="384" spans="26:28" ht="16.5" customHeight="1">
      <c r="Z384" s="1"/>
      <c r="AA384" s="1"/>
      <c r="AB384" s="1"/>
    </row>
    <row r="385" spans="26:28" ht="16.5" customHeight="1">
      <c r="Z385" s="1"/>
      <c r="AA385" s="1"/>
      <c r="AB385" s="1"/>
    </row>
    <row r="386" spans="26:28" ht="16.5" customHeight="1">
      <c r="Z386" s="1"/>
      <c r="AA386" s="1"/>
      <c r="AB386" s="1"/>
    </row>
    <row r="387" spans="26:28" ht="16.5" customHeight="1">
      <c r="Z387" s="1"/>
      <c r="AA387" s="1"/>
      <c r="AB387" s="1"/>
    </row>
    <row r="388" spans="26:28" ht="16.5" customHeight="1">
      <c r="Z388" s="1"/>
      <c r="AA388" s="1"/>
      <c r="AB388" s="1"/>
    </row>
    <row r="389" spans="26:28" ht="16.5" customHeight="1">
      <c r="Z389" s="1"/>
      <c r="AA389" s="1"/>
      <c r="AB389" s="1"/>
    </row>
    <row r="390" spans="26:28" ht="16.5" customHeight="1">
      <c r="Z390" s="1"/>
      <c r="AA390" s="1"/>
      <c r="AB390" s="1"/>
    </row>
    <row r="391" spans="26:28" ht="16.5" customHeight="1">
      <c r="Z391" s="1"/>
      <c r="AA391" s="1"/>
      <c r="AB391" s="1"/>
    </row>
    <row r="392" spans="26:28" ht="16.5" customHeight="1">
      <c r="Z392" s="1"/>
      <c r="AA392" s="1"/>
      <c r="AB392" s="1"/>
    </row>
    <row r="393" spans="26:28" ht="16.5" customHeight="1">
      <c r="Z393" s="1"/>
      <c r="AA393" s="1"/>
      <c r="AB393" s="1"/>
    </row>
    <row r="394" spans="26:28" ht="16.5" customHeight="1">
      <c r="Z394" s="1"/>
      <c r="AA394" s="1"/>
      <c r="AB394" s="1"/>
    </row>
    <row r="395" spans="26:28" ht="16.5" customHeight="1">
      <c r="Z395" s="1"/>
      <c r="AA395" s="1"/>
      <c r="AB395" s="1"/>
    </row>
    <row r="396" spans="26:28" ht="16.5" customHeight="1">
      <c r="Z396" s="1"/>
      <c r="AA396" s="1"/>
      <c r="AB396" s="1"/>
    </row>
    <row r="397" spans="26:28" ht="16.5" customHeight="1">
      <c r="Z397" s="1"/>
      <c r="AA397" s="1"/>
      <c r="AB397" s="1"/>
    </row>
    <row r="398" spans="26:28" ht="16.5" customHeight="1">
      <c r="Z398" s="1"/>
      <c r="AA398" s="1"/>
      <c r="AB398" s="1"/>
    </row>
    <row r="399" spans="26:28" ht="16.5" customHeight="1">
      <c r="Z399" s="1"/>
      <c r="AA399" s="1"/>
      <c r="AB399" s="1"/>
    </row>
    <row r="400" spans="26:28" ht="16.5" customHeight="1">
      <c r="Z400" s="1"/>
      <c r="AA400" s="1"/>
      <c r="AB400" s="1"/>
    </row>
    <row r="401" spans="26:28" ht="16.5" customHeight="1">
      <c r="Z401" s="1"/>
      <c r="AA401" s="1"/>
      <c r="AB401" s="1"/>
    </row>
    <row r="402" spans="26:28" ht="16.5" customHeight="1">
      <c r="Z402" s="1"/>
      <c r="AA402" s="1"/>
      <c r="AB402" s="1"/>
    </row>
    <row r="403" spans="26:28" ht="16.5" customHeight="1">
      <c r="Z403" s="1"/>
      <c r="AA403" s="1"/>
      <c r="AB403" s="1"/>
    </row>
    <row r="404" spans="26:28" ht="16.5" customHeight="1">
      <c r="Z404" s="1"/>
      <c r="AA404" s="1"/>
      <c r="AB404" s="1"/>
    </row>
    <row r="405" spans="26:28" ht="16.5" customHeight="1">
      <c r="Z405" s="1"/>
      <c r="AA405" s="1"/>
      <c r="AB405" s="1"/>
    </row>
    <row r="406" spans="26:28" ht="16.5" customHeight="1">
      <c r="Z406" s="1"/>
      <c r="AA406" s="1"/>
      <c r="AB406" s="1"/>
    </row>
    <row r="407" spans="26:28" ht="16.5" customHeight="1">
      <c r="Z407" s="1"/>
      <c r="AA407" s="1"/>
      <c r="AB407" s="1"/>
    </row>
    <row r="408" spans="26:28" ht="16.5" customHeight="1">
      <c r="Z408" s="1"/>
      <c r="AA408" s="1"/>
      <c r="AB408" s="1"/>
    </row>
    <row r="409" spans="26:28" ht="16.5" customHeight="1">
      <c r="Z409" s="1"/>
      <c r="AA409" s="1"/>
      <c r="AB409" s="1"/>
    </row>
    <row r="410" spans="26:28" ht="16.5" customHeight="1">
      <c r="Z410" s="1"/>
      <c r="AA410" s="1"/>
      <c r="AB410" s="1"/>
    </row>
    <row r="411" spans="26:28" ht="16.5" customHeight="1">
      <c r="Z411" s="1"/>
      <c r="AA411" s="1"/>
      <c r="AB411" s="1"/>
    </row>
    <row r="412" spans="26:28" ht="16.5" customHeight="1">
      <c r="Z412" s="1"/>
      <c r="AA412" s="1"/>
      <c r="AB412" s="1"/>
    </row>
    <row r="413" spans="26:28" ht="16.5" customHeight="1">
      <c r="Z413" s="1"/>
      <c r="AA413" s="1"/>
      <c r="AB413" s="1"/>
    </row>
    <row r="414" spans="26:28" ht="16.5" customHeight="1">
      <c r="Z414" s="1"/>
      <c r="AA414" s="1"/>
      <c r="AB414" s="1"/>
    </row>
    <row r="415" spans="26:28" ht="16.5" customHeight="1">
      <c r="Z415" s="1"/>
      <c r="AA415" s="1"/>
      <c r="AB415" s="1"/>
    </row>
    <row r="416" spans="26:28" ht="16.5" customHeight="1">
      <c r="Z416" s="1"/>
      <c r="AA416" s="1"/>
      <c r="AB416" s="1"/>
    </row>
    <row r="417" spans="26:28" ht="16.5" customHeight="1">
      <c r="Z417" s="1"/>
      <c r="AA417" s="1"/>
      <c r="AB417" s="1"/>
    </row>
    <row r="418" spans="26:28" ht="16.5" customHeight="1">
      <c r="Z418" s="1"/>
      <c r="AA418" s="1"/>
      <c r="AB418" s="1"/>
    </row>
    <row r="419" spans="26:28" ht="16.5" customHeight="1">
      <c r="Z419" s="1"/>
      <c r="AA419" s="1"/>
      <c r="AB419" s="1"/>
    </row>
    <row r="420" spans="26:28" ht="16.5" customHeight="1">
      <c r="Z420" s="1"/>
      <c r="AA420" s="1"/>
      <c r="AB420" s="1"/>
    </row>
    <row r="421" spans="26:28" ht="16.5" customHeight="1">
      <c r="Z421" s="1"/>
      <c r="AA421" s="1"/>
      <c r="AB421" s="1"/>
    </row>
    <row r="422" spans="26:28" ht="16.5" customHeight="1">
      <c r="Z422" s="1"/>
      <c r="AA422" s="1"/>
      <c r="AB422" s="1"/>
    </row>
    <row r="423" spans="26:28" ht="16.5" customHeight="1">
      <c r="Z423" s="1"/>
      <c r="AA423" s="1"/>
      <c r="AB423" s="1"/>
    </row>
    <row r="424" spans="26:28" ht="16.5" customHeight="1">
      <c r="Z424" s="1"/>
      <c r="AA424" s="1"/>
      <c r="AB424" s="1"/>
    </row>
    <row r="425" spans="26:28" ht="16.5" customHeight="1">
      <c r="Z425" s="1"/>
      <c r="AA425" s="1"/>
      <c r="AB425" s="1"/>
    </row>
    <row r="426" spans="26:28" ht="16.5" customHeight="1">
      <c r="Z426" s="1"/>
      <c r="AA426" s="1"/>
      <c r="AB426" s="1"/>
    </row>
    <row r="427" spans="26:28" ht="16.5" customHeight="1">
      <c r="Z427" s="1"/>
      <c r="AA427" s="1"/>
      <c r="AB427" s="1"/>
    </row>
    <row r="428" spans="26:28" ht="16.5" customHeight="1">
      <c r="Z428" s="1"/>
      <c r="AA428" s="1"/>
      <c r="AB428" s="1"/>
    </row>
    <row r="429" spans="26:28" ht="16.5" customHeight="1">
      <c r="Z429" s="1"/>
      <c r="AA429" s="1"/>
      <c r="AB429" s="1"/>
    </row>
    <row r="430" spans="26:28" ht="16.5" customHeight="1">
      <c r="Z430" s="1"/>
      <c r="AA430" s="1"/>
      <c r="AB430" s="1"/>
    </row>
    <row r="431" spans="26:28" ht="16.5" customHeight="1">
      <c r="Z431" s="1"/>
      <c r="AA431" s="1"/>
      <c r="AB431" s="1"/>
    </row>
    <row r="432" spans="26:28" ht="16.5" customHeight="1">
      <c r="Z432" s="1"/>
      <c r="AA432" s="1"/>
      <c r="AB432" s="1"/>
    </row>
    <row r="433" spans="26:28" ht="16.5" customHeight="1">
      <c r="Z433" s="1"/>
      <c r="AA433" s="1"/>
      <c r="AB433" s="1"/>
    </row>
    <row r="434" spans="26:28" ht="16.5" customHeight="1">
      <c r="Z434" s="1"/>
      <c r="AA434" s="1"/>
      <c r="AB434" s="1"/>
    </row>
    <row r="435" spans="26:28" ht="16.5" customHeight="1">
      <c r="Z435" s="1"/>
      <c r="AA435" s="1"/>
      <c r="AB435" s="1"/>
    </row>
    <row r="436" spans="26:28" ht="16.5" customHeight="1">
      <c r="Z436" s="1"/>
      <c r="AA436" s="1"/>
      <c r="AB436" s="1"/>
    </row>
    <row r="437" spans="26:28" ht="16.5" customHeight="1">
      <c r="Z437" s="1"/>
      <c r="AA437" s="1"/>
      <c r="AB437" s="1"/>
    </row>
    <row r="438" spans="26:28" ht="16.5" customHeight="1">
      <c r="Z438" s="1"/>
      <c r="AA438" s="1"/>
      <c r="AB438" s="1"/>
    </row>
    <row r="439" spans="26:28" ht="16.5" customHeight="1">
      <c r="Z439" s="1"/>
      <c r="AA439" s="1"/>
      <c r="AB439" s="1"/>
    </row>
    <row r="440" spans="26:28" ht="16.5" customHeight="1">
      <c r="Z440" s="1"/>
      <c r="AA440" s="1"/>
      <c r="AB440" s="1"/>
    </row>
    <row r="441" spans="26:28" ht="16.5" customHeight="1">
      <c r="Z441" s="1"/>
      <c r="AA441" s="1"/>
      <c r="AB441" s="1"/>
    </row>
    <row r="442" spans="26:28" ht="16.5" customHeight="1">
      <c r="Z442" s="1"/>
      <c r="AA442" s="1"/>
      <c r="AB442" s="1"/>
    </row>
    <row r="443" spans="26:28" ht="16.5" customHeight="1">
      <c r="Z443" s="1"/>
      <c r="AA443" s="1"/>
      <c r="AB443" s="1"/>
    </row>
    <row r="444" spans="26:28" ht="16.5" customHeight="1">
      <c r="Z444" s="1"/>
      <c r="AA444" s="1"/>
      <c r="AB444" s="1"/>
    </row>
    <row r="445" spans="26:28" ht="16.5" customHeight="1">
      <c r="Z445" s="1"/>
      <c r="AA445" s="1"/>
      <c r="AB445" s="1"/>
    </row>
    <row r="446" spans="26:28" ht="16.5" customHeight="1">
      <c r="Z446" s="1"/>
      <c r="AA446" s="1"/>
      <c r="AB446" s="1"/>
    </row>
    <row r="447" spans="26:28" ht="16.5" customHeight="1">
      <c r="Z447" s="1"/>
      <c r="AA447" s="1"/>
      <c r="AB447" s="1"/>
    </row>
    <row r="448" spans="26:28" ht="16.5" customHeight="1">
      <c r="Z448" s="1"/>
      <c r="AA448" s="1"/>
      <c r="AB448" s="1"/>
    </row>
    <row r="449" spans="26:28" ht="16.5" customHeight="1">
      <c r="Z449" s="1"/>
      <c r="AA449" s="1"/>
      <c r="AB449" s="1"/>
    </row>
    <row r="450" spans="26:28" ht="16.5" customHeight="1">
      <c r="Z450" s="1"/>
      <c r="AA450" s="1"/>
      <c r="AB450" s="1"/>
    </row>
    <row r="451" spans="26:28" ht="16.5" customHeight="1">
      <c r="Z451" s="1"/>
      <c r="AA451" s="1"/>
      <c r="AB451" s="1"/>
    </row>
    <row r="452" spans="26:28" ht="16.5" customHeight="1">
      <c r="Z452" s="1"/>
      <c r="AA452" s="1"/>
      <c r="AB452" s="1"/>
    </row>
    <row r="453" spans="26:28" ht="16.5" customHeight="1">
      <c r="Z453" s="1"/>
      <c r="AA453" s="1"/>
      <c r="AB453" s="1"/>
    </row>
    <row r="454" spans="26:28" ht="16.5" customHeight="1">
      <c r="Z454" s="1"/>
      <c r="AA454" s="1"/>
      <c r="AB454" s="1"/>
    </row>
    <row r="455" spans="26:28" ht="16.5" customHeight="1">
      <c r="Z455" s="1"/>
      <c r="AA455" s="1"/>
      <c r="AB455" s="1"/>
    </row>
    <row r="456" spans="26:28" ht="16.5" customHeight="1">
      <c r="Z456" s="1"/>
      <c r="AA456" s="1"/>
      <c r="AB456" s="1"/>
    </row>
    <row r="457" spans="26:28" ht="16.5" customHeight="1">
      <c r="Z457" s="1"/>
      <c r="AA457" s="1"/>
      <c r="AB457" s="1"/>
    </row>
    <row r="458" spans="26:28" ht="16.5" customHeight="1">
      <c r="Z458" s="1"/>
      <c r="AA458" s="1"/>
      <c r="AB458" s="1"/>
    </row>
    <row r="459" spans="26:28" ht="16.5" customHeight="1">
      <c r="Z459" s="1"/>
      <c r="AA459" s="1"/>
      <c r="AB459" s="1"/>
    </row>
    <row r="460" spans="26:28" ht="16.5" customHeight="1">
      <c r="Z460" s="1"/>
      <c r="AA460" s="1"/>
      <c r="AB460" s="1"/>
    </row>
    <row r="461" spans="26:28" ht="16.5" customHeight="1">
      <c r="Z461" s="1"/>
      <c r="AA461" s="1"/>
      <c r="AB461" s="1"/>
    </row>
    <row r="462" spans="26:28" ht="16.5" customHeight="1">
      <c r="Z462" s="1"/>
      <c r="AA462" s="1"/>
      <c r="AB462" s="1"/>
    </row>
    <row r="463" spans="26:28" ht="16.5" customHeight="1">
      <c r="Z463" s="1"/>
      <c r="AA463" s="1"/>
      <c r="AB463" s="1"/>
    </row>
    <row r="464" spans="26:28" ht="16.5" customHeight="1">
      <c r="Z464" s="1"/>
      <c r="AA464" s="1"/>
      <c r="AB464" s="1"/>
    </row>
    <row r="465" spans="26:28" ht="16.5" customHeight="1">
      <c r="Z465" s="1"/>
      <c r="AA465" s="1"/>
      <c r="AB465" s="1"/>
    </row>
    <row r="466" spans="26:28" ht="16.5" customHeight="1">
      <c r="Z466" s="1"/>
      <c r="AA466" s="1"/>
      <c r="AB466" s="1"/>
    </row>
    <row r="467" spans="26:28" ht="16.5" customHeight="1">
      <c r="Z467" s="1"/>
      <c r="AA467" s="1"/>
      <c r="AB467" s="1"/>
    </row>
    <row r="468" spans="26:28" ht="16.5" customHeight="1">
      <c r="Z468" s="1"/>
      <c r="AA468" s="1"/>
      <c r="AB468" s="1"/>
    </row>
    <row r="469" spans="26:28" ht="16.5" customHeight="1">
      <c r="Z469" s="1"/>
      <c r="AA469" s="1"/>
      <c r="AB469" s="1"/>
    </row>
    <row r="470" spans="26:28" ht="16.5" customHeight="1">
      <c r="Z470" s="1"/>
      <c r="AA470" s="1"/>
      <c r="AB470" s="1"/>
    </row>
    <row r="471" spans="26:28" ht="16.5" customHeight="1">
      <c r="Z471" s="1"/>
      <c r="AA471" s="1"/>
      <c r="AB471" s="1"/>
    </row>
    <row r="472" spans="26:28" ht="16.5" customHeight="1">
      <c r="Z472" s="1"/>
      <c r="AA472" s="1"/>
      <c r="AB472" s="1"/>
    </row>
    <row r="473" spans="26:28" ht="16.5" customHeight="1">
      <c r="Z473" s="1"/>
      <c r="AA473" s="1"/>
      <c r="AB473" s="1"/>
    </row>
    <row r="474" spans="26:28" ht="16.5" customHeight="1">
      <c r="Z474" s="1"/>
      <c r="AA474" s="1"/>
      <c r="AB474" s="1"/>
    </row>
    <row r="475" spans="26:28" ht="16.5" customHeight="1">
      <c r="Z475" s="1"/>
      <c r="AA475" s="1"/>
      <c r="AB475" s="1"/>
    </row>
    <row r="476" spans="26:28" ht="16.5" customHeight="1">
      <c r="Z476" s="1"/>
      <c r="AA476" s="1"/>
      <c r="AB476" s="1"/>
    </row>
    <row r="477" spans="26:28" ht="16.5" customHeight="1">
      <c r="Z477" s="1"/>
      <c r="AA477" s="1"/>
      <c r="AB477" s="1"/>
    </row>
    <row r="478" spans="26:28" ht="16.5" customHeight="1">
      <c r="Z478" s="1"/>
      <c r="AA478" s="1"/>
      <c r="AB478" s="1"/>
    </row>
    <row r="479" spans="26:28" ht="16.5" customHeight="1">
      <c r="Z479" s="1"/>
      <c r="AA479" s="1"/>
      <c r="AB479" s="1"/>
    </row>
    <row r="480" spans="26:28" ht="16.5" customHeight="1">
      <c r="Z480" s="1"/>
      <c r="AA480" s="1"/>
      <c r="AB480" s="1"/>
    </row>
    <row r="481" spans="26:28" ht="16.5" customHeight="1">
      <c r="Z481" s="1"/>
      <c r="AA481" s="1"/>
      <c r="AB481" s="1"/>
    </row>
    <row r="482" spans="26:28" ht="16.5" customHeight="1">
      <c r="Z482" s="1"/>
      <c r="AA482" s="1"/>
      <c r="AB482" s="1"/>
    </row>
    <row r="483" spans="26:28" ht="16.5" customHeight="1">
      <c r="Z483" s="1"/>
      <c r="AA483" s="1"/>
      <c r="AB483" s="1"/>
    </row>
    <row r="484" spans="26:28" ht="16.5" customHeight="1">
      <c r="Z484" s="1"/>
      <c r="AA484" s="1"/>
      <c r="AB484" s="1"/>
    </row>
    <row r="485" spans="26:28" ht="16.5" customHeight="1">
      <c r="Z485" s="1"/>
      <c r="AA485" s="1"/>
      <c r="AB485" s="1"/>
    </row>
    <row r="486" spans="26:28" ht="16.5" customHeight="1">
      <c r="Z486" s="1"/>
      <c r="AA486" s="1"/>
      <c r="AB486" s="1"/>
    </row>
    <row r="487" spans="26:28" ht="16.5" customHeight="1">
      <c r="Z487" s="1"/>
      <c r="AA487" s="1"/>
      <c r="AB487" s="1"/>
    </row>
    <row r="488" spans="26:28" ht="16.5" customHeight="1">
      <c r="Z488" s="1"/>
      <c r="AA488" s="1"/>
      <c r="AB488" s="1"/>
    </row>
    <row r="489" spans="26:28" ht="16.5" customHeight="1">
      <c r="Z489" s="1"/>
      <c r="AA489" s="1"/>
      <c r="AB489" s="1"/>
    </row>
    <row r="490" spans="26:28" ht="16.5" customHeight="1">
      <c r="Z490" s="1"/>
      <c r="AA490" s="1"/>
      <c r="AB490" s="1"/>
    </row>
    <row r="491" spans="26:28" ht="16.5" customHeight="1">
      <c r="Z491" s="1"/>
      <c r="AA491" s="1"/>
      <c r="AB491" s="1"/>
    </row>
    <row r="492" spans="26:28" ht="16.5" customHeight="1">
      <c r="Z492" s="1"/>
      <c r="AA492" s="1"/>
      <c r="AB492" s="1"/>
    </row>
    <row r="493" spans="26:28" ht="16.5" customHeight="1">
      <c r="Z493" s="1"/>
      <c r="AA493" s="1"/>
      <c r="AB493" s="1"/>
    </row>
    <row r="494" spans="26:28" ht="16.5" customHeight="1">
      <c r="Z494" s="1"/>
      <c r="AA494" s="1"/>
      <c r="AB494" s="1"/>
    </row>
    <row r="495" spans="26:28" ht="16.5" customHeight="1">
      <c r="Z495" s="1"/>
      <c r="AA495" s="1"/>
      <c r="AB495" s="1"/>
    </row>
    <row r="496" spans="26:28" ht="16.5" customHeight="1">
      <c r="Z496" s="1"/>
      <c r="AA496" s="1"/>
      <c r="AB496" s="1"/>
    </row>
    <row r="497" spans="26:28" ht="16.5" customHeight="1">
      <c r="Z497" s="1"/>
      <c r="AA497" s="1"/>
      <c r="AB497" s="1"/>
    </row>
    <row r="498" spans="26:28" ht="16.5" customHeight="1">
      <c r="Z498" s="1"/>
      <c r="AA498" s="1"/>
      <c r="AB498" s="1"/>
    </row>
    <row r="499" spans="26:28" ht="16.5" customHeight="1">
      <c r="Z499" s="1"/>
      <c r="AA499" s="1"/>
      <c r="AB499" s="1"/>
    </row>
    <row r="500" spans="26:28" ht="16.5" customHeight="1">
      <c r="Z500" s="1"/>
      <c r="AA500" s="1"/>
      <c r="AB500" s="1"/>
    </row>
    <row r="501" spans="26:28" ht="16.5" customHeight="1">
      <c r="Z501" s="1"/>
      <c r="AA501" s="1"/>
      <c r="AB501" s="1"/>
    </row>
    <row r="502" spans="26:28" ht="16.5" customHeight="1">
      <c r="Z502" s="1"/>
      <c r="AA502" s="1"/>
      <c r="AB502" s="1"/>
    </row>
    <row r="503" spans="26:28" ht="16.5" customHeight="1">
      <c r="Z503" s="1"/>
      <c r="AA503" s="1"/>
      <c r="AB503" s="1"/>
    </row>
    <row r="504" spans="26:28" ht="16.5" customHeight="1">
      <c r="Z504" s="1"/>
      <c r="AA504" s="1"/>
      <c r="AB504" s="1"/>
    </row>
    <row r="505" spans="26:28" ht="16.5" customHeight="1">
      <c r="Z505" s="1"/>
      <c r="AA505" s="1"/>
      <c r="AB505" s="1"/>
    </row>
    <row r="506" spans="26:28" ht="16.5" customHeight="1">
      <c r="Z506" s="1"/>
      <c r="AA506" s="1"/>
      <c r="AB506" s="1"/>
    </row>
    <row r="507" spans="26:28" ht="16.5" customHeight="1">
      <c r="Z507" s="1"/>
      <c r="AA507" s="1"/>
      <c r="AB507" s="1"/>
    </row>
    <row r="508" spans="26:28" ht="16.5" customHeight="1">
      <c r="Z508" s="1"/>
      <c r="AA508" s="1"/>
      <c r="AB508" s="1"/>
    </row>
    <row r="509" spans="26:28" ht="16.5" customHeight="1">
      <c r="Z509" s="1"/>
      <c r="AA509" s="1"/>
      <c r="AB509" s="1"/>
    </row>
    <row r="510" spans="26:28" ht="16.5" customHeight="1">
      <c r="Z510" s="1"/>
      <c r="AA510" s="1"/>
      <c r="AB510" s="1"/>
    </row>
    <row r="511" spans="26:28" ht="16.5" customHeight="1">
      <c r="Z511" s="1"/>
      <c r="AA511" s="1"/>
      <c r="AB511" s="1"/>
    </row>
    <row r="512" spans="26:28" ht="16.5" customHeight="1">
      <c r="Z512" s="1"/>
      <c r="AA512" s="1"/>
      <c r="AB512" s="1"/>
    </row>
    <row r="513" spans="26:28" ht="16.5" customHeight="1">
      <c r="Z513" s="1"/>
      <c r="AA513" s="1"/>
      <c r="AB513" s="1"/>
    </row>
    <row r="514" spans="26:28" ht="16.5" customHeight="1">
      <c r="Z514" s="1"/>
      <c r="AA514" s="1"/>
      <c r="AB514" s="1"/>
    </row>
    <row r="515" spans="26:28" ht="16.5" customHeight="1">
      <c r="Z515" s="1"/>
      <c r="AA515" s="1"/>
      <c r="AB515" s="1"/>
    </row>
    <row r="516" spans="26:28" ht="16.5" customHeight="1">
      <c r="Z516" s="1"/>
      <c r="AA516" s="1"/>
      <c r="AB516" s="1"/>
    </row>
    <row r="517" spans="26:28" ht="16.5" customHeight="1">
      <c r="Z517" s="1"/>
      <c r="AA517" s="1"/>
      <c r="AB517" s="1"/>
    </row>
    <row r="518" spans="26:28" ht="16.5" customHeight="1">
      <c r="Z518" s="1"/>
      <c r="AA518" s="1"/>
      <c r="AB518" s="1"/>
    </row>
    <row r="519" spans="26:28" ht="16.5" customHeight="1">
      <c r="Z519" s="1"/>
      <c r="AA519" s="1"/>
      <c r="AB519" s="1"/>
    </row>
    <row r="520" spans="26:28" ht="16.5" customHeight="1">
      <c r="Z520" s="1"/>
      <c r="AA520" s="1"/>
      <c r="AB520" s="1"/>
    </row>
    <row r="521" spans="26:28" ht="16.5" customHeight="1">
      <c r="Z521" s="1"/>
      <c r="AA521" s="1"/>
      <c r="AB521" s="1"/>
    </row>
    <row r="522" spans="26:28" ht="16.5" customHeight="1">
      <c r="Z522" s="1"/>
      <c r="AA522" s="1"/>
      <c r="AB522" s="1"/>
    </row>
    <row r="523" spans="26:28" ht="16.5" customHeight="1">
      <c r="Z523" s="1"/>
      <c r="AA523" s="1"/>
      <c r="AB523" s="1"/>
    </row>
    <row r="524" spans="26:28" ht="16.5" customHeight="1">
      <c r="Z524" s="1"/>
      <c r="AA524" s="1"/>
      <c r="AB524" s="1"/>
    </row>
    <row r="525" spans="26:28" ht="16.5" customHeight="1">
      <c r="Z525" s="1"/>
      <c r="AA525" s="1"/>
      <c r="AB525" s="1"/>
    </row>
    <row r="526" spans="26:28" ht="16.5" customHeight="1">
      <c r="Z526" s="1"/>
      <c r="AA526" s="1"/>
      <c r="AB526" s="1"/>
    </row>
    <row r="527" spans="26:28" ht="16.5" customHeight="1">
      <c r="Z527" s="1"/>
      <c r="AA527" s="1"/>
      <c r="AB527" s="1"/>
    </row>
    <row r="528" spans="26:28" ht="16.5" customHeight="1">
      <c r="Z528" s="1"/>
      <c r="AA528" s="1"/>
      <c r="AB528" s="1"/>
    </row>
    <row r="529" spans="26:28" ht="16.5" customHeight="1">
      <c r="Z529" s="1"/>
      <c r="AA529" s="1"/>
      <c r="AB529" s="1"/>
    </row>
    <row r="530" spans="26:28" ht="16.5" customHeight="1">
      <c r="Z530" s="1"/>
      <c r="AA530" s="1"/>
      <c r="AB530" s="1"/>
    </row>
    <row r="531" spans="26:28" ht="16.5" customHeight="1">
      <c r="Z531" s="1"/>
      <c r="AA531" s="1"/>
      <c r="AB531" s="1"/>
    </row>
    <row r="532" spans="26:28" ht="16.5" customHeight="1">
      <c r="Z532" s="1"/>
      <c r="AA532" s="1"/>
      <c r="AB532" s="1"/>
    </row>
    <row r="533" spans="26:28" ht="16.5" customHeight="1">
      <c r="Z533" s="1"/>
      <c r="AA533" s="1"/>
      <c r="AB533" s="1"/>
    </row>
    <row r="534" spans="26:28" ht="16.5" customHeight="1">
      <c r="Z534" s="1"/>
      <c r="AA534" s="1"/>
      <c r="AB534" s="1"/>
    </row>
    <row r="535" spans="26:28" ht="16.5" customHeight="1">
      <c r="Z535" s="1"/>
      <c r="AA535" s="1"/>
      <c r="AB535" s="1"/>
    </row>
    <row r="536" spans="26:28" ht="16.5" customHeight="1">
      <c r="Z536" s="1"/>
      <c r="AA536" s="1"/>
      <c r="AB536" s="1"/>
    </row>
    <row r="537" spans="26:28" ht="16.5" customHeight="1">
      <c r="Z537" s="1"/>
      <c r="AA537" s="1"/>
      <c r="AB537" s="1"/>
    </row>
    <row r="538" spans="26:28" ht="16.5" customHeight="1">
      <c r="Z538" s="1"/>
      <c r="AA538" s="1"/>
      <c r="AB538" s="1"/>
    </row>
    <row r="539" spans="26:28" ht="16.5" customHeight="1">
      <c r="Z539" s="1"/>
      <c r="AA539" s="1"/>
      <c r="AB539" s="1"/>
    </row>
    <row r="540" spans="26:28" ht="16.5" customHeight="1">
      <c r="Z540" s="1"/>
      <c r="AA540" s="1"/>
      <c r="AB540" s="1"/>
    </row>
    <row r="541" spans="26:28" ht="16.5" customHeight="1">
      <c r="Z541" s="1"/>
      <c r="AA541" s="1"/>
      <c r="AB541" s="1"/>
    </row>
    <row r="542" spans="26:28" ht="16.5" customHeight="1">
      <c r="Z542" s="1"/>
      <c r="AA542" s="1"/>
      <c r="AB542" s="1"/>
    </row>
    <row r="543" spans="26:28" ht="16.5" customHeight="1">
      <c r="Z543" s="1"/>
      <c r="AA543" s="1"/>
      <c r="AB543" s="1"/>
    </row>
    <row r="544" spans="26:28" ht="16.5" customHeight="1">
      <c r="Z544" s="1"/>
      <c r="AA544" s="1"/>
      <c r="AB544" s="1"/>
    </row>
    <row r="545" spans="26:28" ht="16.5" customHeight="1">
      <c r="Z545" s="1"/>
      <c r="AA545" s="1"/>
      <c r="AB545" s="1"/>
    </row>
    <row r="546" spans="26:28" ht="16.5" customHeight="1">
      <c r="Z546" s="1"/>
      <c r="AA546" s="1"/>
      <c r="AB546" s="1"/>
    </row>
    <row r="547" spans="26:28" ht="16.5" customHeight="1">
      <c r="Z547" s="1"/>
      <c r="AA547" s="1"/>
      <c r="AB547" s="1"/>
    </row>
    <row r="548" spans="26:28" ht="16.5" customHeight="1">
      <c r="Z548" s="1"/>
      <c r="AA548" s="1"/>
      <c r="AB548" s="1"/>
    </row>
    <row r="549" spans="26:28" ht="16.5" customHeight="1">
      <c r="Z549" s="1"/>
      <c r="AA549" s="1"/>
      <c r="AB549" s="1"/>
    </row>
    <row r="550" spans="26:28" ht="16.5" customHeight="1">
      <c r="Z550" s="1"/>
      <c r="AA550" s="1"/>
      <c r="AB550" s="1"/>
    </row>
    <row r="551" spans="26:28" ht="16.5" customHeight="1">
      <c r="Z551" s="1"/>
      <c r="AA551" s="1"/>
      <c r="AB551" s="1"/>
    </row>
    <row r="552" spans="26:28" ht="16.5" customHeight="1">
      <c r="Z552" s="1"/>
      <c r="AA552" s="1"/>
      <c r="AB552" s="1"/>
    </row>
    <row r="553" spans="26:28" ht="16.5" customHeight="1">
      <c r="Z553" s="1"/>
      <c r="AA553" s="1"/>
      <c r="AB553" s="1"/>
    </row>
    <row r="554" spans="26:28" ht="16.5" customHeight="1">
      <c r="Z554" s="1"/>
      <c r="AA554" s="1"/>
      <c r="AB554" s="1"/>
    </row>
    <row r="555" spans="26:28" ht="16.5" customHeight="1">
      <c r="Z555" s="1"/>
      <c r="AA555" s="1"/>
      <c r="AB555" s="1"/>
    </row>
    <row r="556" spans="26:28" ht="16.5" customHeight="1">
      <c r="Z556" s="1"/>
      <c r="AA556" s="1"/>
      <c r="AB556" s="1"/>
    </row>
    <row r="557" spans="26:28" ht="16.5" customHeight="1">
      <c r="Z557" s="1"/>
      <c r="AA557" s="1"/>
      <c r="AB557" s="1"/>
    </row>
    <row r="558" spans="26:28" ht="16.5" customHeight="1">
      <c r="Z558" s="1"/>
      <c r="AA558" s="1"/>
      <c r="AB558" s="1"/>
    </row>
    <row r="559" spans="26:28" ht="16.5" customHeight="1">
      <c r="Z559" s="1"/>
      <c r="AA559" s="1"/>
      <c r="AB559" s="1"/>
    </row>
    <row r="560" spans="26:28" ht="16.5" customHeight="1">
      <c r="Z560" s="1"/>
      <c r="AA560" s="1"/>
      <c r="AB560" s="1"/>
    </row>
    <row r="561" spans="26:28" ht="16.5" customHeight="1">
      <c r="Z561" s="1"/>
      <c r="AA561" s="1"/>
      <c r="AB561" s="1"/>
    </row>
    <row r="562" spans="26:28" ht="16.5" customHeight="1">
      <c r="Z562" s="1"/>
      <c r="AA562" s="1"/>
      <c r="AB562" s="1"/>
    </row>
    <row r="563" spans="26:28" ht="16.5" customHeight="1">
      <c r="Z563" s="1"/>
      <c r="AA563" s="1"/>
      <c r="AB563" s="1"/>
    </row>
    <row r="564" spans="26:28" ht="16.5" customHeight="1">
      <c r="Z564" s="1"/>
      <c r="AA564" s="1"/>
      <c r="AB564" s="1"/>
    </row>
    <row r="565" spans="26:28" ht="16.5" customHeight="1">
      <c r="Z565" s="1"/>
      <c r="AA565" s="1"/>
      <c r="AB565" s="1"/>
    </row>
    <row r="566" spans="26:28" ht="16.5" customHeight="1">
      <c r="Z566" s="1"/>
      <c r="AA566" s="1"/>
      <c r="AB566" s="1"/>
    </row>
    <row r="567" spans="26:28" ht="16.5" customHeight="1">
      <c r="Z567" s="1"/>
      <c r="AA567" s="1"/>
      <c r="AB567" s="1"/>
    </row>
    <row r="568" spans="26:28" ht="16.5" customHeight="1">
      <c r="Z568" s="1"/>
      <c r="AA568" s="1"/>
      <c r="AB568" s="1"/>
    </row>
    <row r="569" spans="26:28" ht="16.5" customHeight="1">
      <c r="Z569" s="1"/>
      <c r="AA569" s="1"/>
      <c r="AB569" s="1"/>
    </row>
    <row r="570" spans="26:28" ht="16.5" customHeight="1">
      <c r="Z570" s="1"/>
      <c r="AA570" s="1"/>
      <c r="AB570" s="1"/>
    </row>
    <row r="571" spans="26:28" ht="16.5" customHeight="1">
      <c r="Z571" s="1"/>
      <c r="AA571" s="1"/>
      <c r="AB571" s="1"/>
    </row>
    <row r="572" spans="26:28" ht="16.5" customHeight="1">
      <c r="Z572" s="1"/>
      <c r="AA572" s="1"/>
      <c r="AB572" s="1"/>
    </row>
    <row r="573" spans="26:28" ht="16.5" customHeight="1">
      <c r="Z573" s="1"/>
      <c r="AA573" s="1"/>
      <c r="AB573" s="1"/>
    </row>
    <row r="574" spans="26:28" ht="16.5" customHeight="1">
      <c r="Z574" s="1"/>
      <c r="AA574" s="1"/>
      <c r="AB574" s="1"/>
    </row>
    <row r="575" spans="26:28" ht="16.5" customHeight="1">
      <c r="Z575" s="1"/>
      <c r="AA575" s="1"/>
      <c r="AB575" s="1"/>
    </row>
    <row r="576" spans="26:28" ht="16.5" customHeight="1">
      <c r="Z576" s="1"/>
      <c r="AA576" s="1"/>
      <c r="AB576" s="1"/>
    </row>
    <row r="577" spans="26:28" ht="16.5" customHeight="1">
      <c r="Z577" s="1"/>
      <c r="AA577" s="1"/>
      <c r="AB577" s="1"/>
    </row>
    <row r="578" spans="26:28" ht="16.5" customHeight="1">
      <c r="Z578" s="1"/>
      <c r="AA578" s="1"/>
      <c r="AB578" s="1"/>
    </row>
    <row r="579" spans="26:28" ht="16.5" customHeight="1">
      <c r="Z579" s="1"/>
      <c r="AA579" s="1"/>
      <c r="AB579" s="1"/>
    </row>
    <row r="580" spans="26:28" ht="16.5" customHeight="1">
      <c r="Z580" s="1"/>
      <c r="AA580" s="1"/>
      <c r="AB580" s="1"/>
    </row>
    <row r="581" spans="26:28" ht="16.5" customHeight="1">
      <c r="Z581" s="1"/>
      <c r="AA581" s="1"/>
      <c r="AB581" s="1"/>
    </row>
    <row r="582" spans="26:28" ht="16.5" customHeight="1">
      <c r="Z582" s="1"/>
      <c r="AA582" s="1"/>
      <c r="AB582" s="1"/>
    </row>
    <row r="583" spans="26:28" ht="16.5" customHeight="1">
      <c r="Z583" s="1"/>
      <c r="AA583" s="1"/>
      <c r="AB583" s="1"/>
    </row>
    <row r="584" spans="26:28" ht="16.5" customHeight="1">
      <c r="Z584" s="1"/>
      <c r="AA584" s="1"/>
      <c r="AB584" s="1"/>
    </row>
    <row r="585" spans="26:28" ht="16.5" customHeight="1">
      <c r="Z585" s="1"/>
      <c r="AA585" s="1"/>
      <c r="AB585" s="1"/>
    </row>
    <row r="586" spans="26:28" ht="16.5" customHeight="1">
      <c r="Z586" s="1"/>
      <c r="AA586" s="1"/>
      <c r="AB586" s="1"/>
    </row>
    <row r="587" spans="26:28" ht="16.5" customHeight="1">
      <c r="Z587" s="1"/>
      <c r="AA587" s="1"/>
      <c r="AB587" s="1"/>
    </row>
    <row r="588" spans="26:28" ht="16.5" customHeight="1">
      <c r="Z588" s="1"/>
      <c r="AA588" s="1"/>
      <c r="AB588" s="1"/>
    </row>
    <row r="589" spans="26:28" ht="16.5" customHeight="1">
      <c r="Z589" s="1"/>
      <c r="AA589" s="1"/>
      <c r="AB589" s="1"/>
    </row>
    <row r="590" spans="26:28" ht="16.5" customHeight="1">
      <c r="Z590" s="1"/>
      <c r="AA590" s="1"/>
      <c r="AB590" s="1"/>
    </row>
    <row r="591" spans="26:28" ht="16.5" customHeight="1">
      <c r="Z591" s="1"/>
      <c r="AA591" s="1"/>
      <c r="AB591" s="1"/>
    </row>
    <row r="592" spans="26:28" ht="16.5" customHeight="1">
      <c r="Z592" s="1"/>
      <c r="AA592" s="1"/>
      <c r="AB592" s="1"/>
    </row>
    <row r="593" spans="26:28" ht="16.5" customHeight="1">
      <c r="Z593" s="1"/>
      <c r="AA593" s="1"/>
      <c r="AB593" s="1"/>
    </row>
    <row r="594" spans="26:28" ht="16.5" customHeight="1">
      <c r="Z594" s="1"/>
      <c r="AA594" s="1"/>
      <c r="AB594" s="1"/>
    </row>
    <row r="595" spans="26:28" ht="16.5" customHeight="1">
      <c r="Z595" s="1"/>
      <c r="AA595" s="1"/>
      <c r="AB595" s="1"/>
    </row>
    <row r="596" spans="26:28" ht="16.5" customHeight="1">
      <c r="Z596" s="1"/>
      <c r="AA596" s="1"/>
      <c r="AB596" s="1"/>
    </row>
    <row r="597" spans="26:28" ht="16.5" customHeight="1">
      <c r="Z597" s="1"/>
      <c r="AA597" s="1"/>
      <c r="AB597" s="1"/>
    </row>
    <row r="598" spans="26:28" ht="16.5" customHeight="1">
      <c r="Z598" s="1"/>
      <c r="AA598" s="1"/>
      <c r="AB598" s="1"/>
    </row>
    <row r="599" spans="26:28" ht="16.5" customHeight="1">
      <c r="Z599" s="1"/>
      <c r="AA599" s="1"/>
      <c r="AB599" s="1"/>
    </row>
    <row r="600" spans="26:28" ht="16.5" customHeight="1">
      <c r="Z600" s="1"/>
      <c r="AA600" s="1"/>
      <c r="AB600" s="1"/>
    </row>
    <row r="601" spans="26:28" ht="16.5" customHeight="1">
      <c r="Z601" s="1"/>
      <c r="AA601" s="1"/>
      <c r="AB601" s="1"/>
    </row>
    <row r="602" spans="26:28" ht="16.5" customHeight="1">
      <c r="Z602" s="1"/>
      <c r="AA602" s="1"/>
      <c r="AB602" s="1"/>
    </row>
    <row r="603" spans="26:28" ht="16.5" customHeight="1">
      <c r="Z603" s="1"/>
      <c r="AA603" s="1"/>
      <c r="AB603" s="1"/>
    </row>
    <row r="604" spans="26:28" ht="16.5" customHeight="1">
      <c r="Z604" s="1"/>
      <c r="AA604" s="1"/>
      <c r="AB604" s="1"/>
    </row>
    <row r="605" spans="26:28" ht="16.5" customHeight="1">
      <c r="Z605" s="1"/>
      <c r="AA605" s="1"/>
      <c r="AB605" s="1"/>
    </row>
    <row r="606" spans="26:28" ht="16.5" customHeight="1">
      <c r="Z606" s="1"/>
      <c r="AA606" s="1"/>
      <c r="AB606" s="1"/>
    </row>
    <row r="607" spans="26:28" ht="16.5" customHeight="1">
      <c r="Z607" s="1"/>
      <c r="AA607" s="1"/>
      <c r="AB607" s="1"/>
    </row>
    <row r="608" spans="26:28" ht="16.5" customHeight="1">
      <c r="Z608" s="1"/>
      <c r="AA608" s="1"/>
      <c r="AB608" s="1"/>
    </row>
    <row r="609" spans="26:28" ht="16.5" customHeight="1">
      <c r="Z609" s="1"/>
      <c r="AA609" s="1"/>
      <c r="AB609" s="1"/>
    </row>
    <row r="610" spans="26:28" ht="16.5" customHeight="1">
      <c r="Z610" s="1"/>
      <c r="AA610" s="1"/>
      <c r="AB610" s="1"/>
    </row>
    <row r="611" spans="26:28" ht="16.5" customHeight="1">
      <c r="Z611" s="1"/>
      <c r="AA611" s="1"/>
      <c r="AB611" s="1"/>
    </row>
    <row r="612" spans="26:28" ht="16.5" customHeight="1">
      <c r="Z612" s="1"/>
      <c r="AA612" s="1"/>
      <c r="AB612" s="1"/>
    </row>
    <row r="613" spans="26:28" ht="16.5" customHeight="1">
      <c r="Z613" s="1"/>
      <c r="AA613" s="1"/>
      <c r="AB613" s="1"/>
    </row>
    <row r="614" spans="26:28" ht="16.5" customHeight="1">
      <c r="Z614" s="1"/>
      <c r="AA614" s="1"/>
      <c r="AB614" s="1"/>
    </row>
    <row r="615" spans="26:28" ht="16.5" customHeight="1">
      <c r="Z615" s="1"/>
      <c r="AA615" s="1"/>
      <c r="AB615" s="1"/>
    </row>
    <row r="616" spans="26:28" ht="16.5" customHeight="1">
      <c r="Z616" s="1"/>
      <c r="AA616" s="1"/>
      <c r="AB616" s="1"/>
    </row>
    <row r="617" spans="26:28" ht="16.5" customHeight="1">
      <c r="Z617" s="1"/>
      <c r="AA617" s="1"/>
      <c r="AB617" s="1"/>
    </row>
    <row r="618" spans="26:28" ht="16.5" customHeight="1">
      <c r="Z618" s="1"/>
      <c r="AA618" s="1"/>
      <c r="AB618" s="1"/>
    </row>
    <row r="619" spans="26:28" ht="16.5" customHeight="1">
      <c r="Z619" s="1"/>
      <c r="AA619" s="1"/>
      <c r="AB619" s="1"/>
    </row>
    <row r="620" spans="26:28" ht="16.5" customHeight="1">
      <c r="Z620" s="1"/>
      <c r="AA620" s="1"/>
      <c r="AB620" s="1"/>
    </row>
    <row r="621" spans="26:28" ht="16.5" customHeight="1">
      <c r="Z621" s="1"/>
      <c r="AA621" s="1"/>
      <c r="AB621" s="1"/>
    </row>
    <row r="622" spans="26:28" ht="16.5" customHeight="1">
      <c r="Z622" s="1"/>
      <c r="AA622" s="1"/>
      <c r="AB622" s="1"/>
    </row>
    <row r="623" spans="26:28" ht="16.5" customHeight="1">
      <c r="Z623" s="1"/>
      <c r="AA623" s="1"/>
      <c r="AB623" s="1"/>
    </row>
    <row r="624" spans="26:28" ht="16.5" customHeight="1">
      <c r="Z624" s="1"/>
      <c r="AA624" s="1"/>
      <c r="AB624" s="1"/>
    </row>
    <row r="625" spans="26:28" ht="16.5" customHeight="1">
      <c r="Z625" s="1"/>
      <c r="AA625" s="1"/>
      <c r="AB625" s="1"/>
    </row>
    <row r="626" spans="26:28" ht="16.5" customHeight="1">
      <c r="Z626" s="1"/>
      <c r="AA626" s="1"/>
      <c r="AB626" s="1"/>
    </row>
    <row r="627" spans="26:28" ht="16.5" customHeight="1">
      <c r="Z627" s="1"/>
      <c r="AA627" s="1"/>
      <c r="AB627" s="1"/>
    </row>
    <row r="628" spans="26:28" ht="16.5" customHeight="1">
      <c r="Z628" s="1"/>
      <c r="AA628" s="1"/>
      <c r="AB628" s="1"/>
    </row>
    <row r="629" spans="26:28" ht="16.5" customHeight="1">
      <c r="Z629" s="1"/>
      <c r="AA629" s="1"/>
      <c r="AB629" s="1"/>
    </row>
    <row r="630" spans="26:28" ht="16.5" customHeight="1">
      <c r="Z630" s="1"/>
      <c r="AA630" s="1"/>
      <c r="AB630" s="1"/>
    </row>
    <row r="631" spans="26:28" ht="16.5" customHeight="1">
      <c r="Z631" s="1"/>
      <c r="AA631" s="1"/>
      <c r="AB631" s="1"/>
    </row>
    <row r="632" spans="26:28" ht="16.5" customHeight="1">
      <c r="Z632" s="1"/>
      <c r="AA632" s="1"/>
      <c r="AB632" s="1"/>
    </row>
    <row r="633" spans="26:28" ht="16.5" customHeight="1">
      <c r="Z633" s="1"/>
      <c r="AA633" s="1"/>
      <c r="AB633" s="1"/>
    </row>
    <row r="634" spans="26:28" ht="16.5" customHeight="1">
      <c r="Z634" s="1"/>
      <c r="AA634" s="1"/>
      <c r="AB634" s="1"/>
    </row>
    <row r="635" spans="26:28" ht="16.5" customHeight="1">
      <c r="Z635" s="1"/>
      <c r="AA635" s="1"/>
      <c r="AB635" s="1"/>
    </row>
    <row r="636" spans="26:28" ht="16.5" customHeight="1">
      <c r="Z636" s="1"/>
      <c r="AA636" s="1"/>
      <c r="AB636" s="1"/>
    </row>
    <row r="637" spans="26:28" ht="16.5" customHeight="1">
      <c r="Z637" s="1"/>
      <c r="AA637" s="1"/>
      <c r="AB637" s="1"/>
    </row>
    <row r="638" spans="26:28" ht="16.5" customHeight="1">
      <c r="Z638" s="1"/>
      <c r="AA638" s="1"/>
      <c r="AB638" s="1"/>
    </row>
    <row r="639" spans="26:28" ht="16.5" customHeight="1">
      <c r="Z639" s="1"/>
      <c r="AA639" s="1"/>
      <c r="AB639" s="1"/>
    </row>
    <row r="640" spans="26:28" ht="16.5" customHeight="1">
      <c r="Z640" s="1"/>
      <c r="AA640" s="1"/>
      <c r="AB640" s="1"/>
    </row>
    <row r="641" spans="26:28" ht="16.5" customHeight="1">
      <c r="Z641" s="1"/>
      <c r="AA641" s="1"/>
      <c r="AB641" s="1"/>
    </row>
    <row r="642" spans="26:28" ht="16.5" customHeight="1">
      <c r="Z642" s="1"/>
      <c r="AA642" s="1"/>
      <c r="AB642" s="1"/>
    </row>
    <row r="643" spans="26:28" ht="16.5" customHeight="1">
      <c r="Z643" s="1"/>
      <c r="AA643" s="1"/>
      <c r="AB643" s="1"/>
    </row>
    <row r="644" spans="26:28" ht="16.5" customHeight="1">
      <c r="Z644" s="1"/>
      <c r="AA644" s="1"/>
      <c r="AB644" s="1"/>
    </row>
    <row r="645" spans="26:28" ht="16.5" customHeight="1">
      <c r="Z645" s="1"/>
      <c r="AA645" s="1"/>
      <c r="AB645" s="1"/>
    </row>
    <row r="646" spans="26:28" ht="16.5" customHeight="1">
      <c r="Z646" s="1"/>
      <c r="AA646" s="1"/>
      <c r="AB646" s="1"/>
    </row>
    <row r="647" spans="26:28" ht="16.5" customHeight="1">
      <c r="Z647" s="1"/>
      <c r="AA647" s="1"/>
      <c r="AB647" s="1"/>
    </row>
    <row r="648" spans="26:28" ht="16.5" customHeight="1">
      <c r="Z648" s="1"/>
      <c r="AA648" s="1"/>
      <c r="AB648" s="1"/>
    </row>
    <row r="649" spans="26:28" ht="16.5" customHeight="1">
      <c r="Z649" s="1"/>
      <c r="AA649" s="1"/>
      <c r="AB649" s="1"/>
    </row>
    <row r="650" spans="26:28" ht="16.5" customHeight="1">
      <c r="Z650" s="1"/>
      <c r="AA650" s="1"/>
      <c r="AB650" s="1"/>
    </row>
    <row r="651" spans="26:28" ht="16.5" customHeight="1">
      <c r="Z651" s="1"/>
      <c r="AA651" s="1"/>
      <c r="AB651" s="1"/>
    </row>
    <row r="652" spans="26:28" ht="16.5" customHeight="1">
      <c r="Z652" s="1"/>
      <c r="AA652" s="1"/>
      <c r="AB652" s="1"/>
    </row>
    <row r="653" spans="26:28" ht="16.5" customHeight="1">
      <c r="Z653" s="1"/>
      <c r="AA653" s="1"/>
      <c r="AB653" s="1"/>
    </row>
    <row r="654" spans="26:28" ht="16.5" customHeight="1">
      <c r="Z654" s="1"/>
      <c r="AA654" s="1"/>
      <c r="AB654" s="1"/>
    </row>
    <row r="655" spans="26:28" ht="16.5" customHeight="1">
      <c r="Z655" s="1"/>
      <c r="AA655" s="1"/>
      <c r="AB655" s="1"/>
    </row>
    <row r="656" spans="26:28" ht="16.5" customHeight="1">
      <c r="Z656" s="1"/>
      <c r="AA656" s="1"/>
      <c r="AB656" s="1"/>
    </row>
    <row r="657" spans="26:28" ht="16.5" customHeight="1">
      <c r="Z657" s="1"/>
      <c r="AA657" s="1"/>
      <c r="AB657" s="1"/>
    </row>
    <row r="658" spans="26:28" ht="16.5" customHeight="1">
      <c r="Z658" s="1"/>
      <c r="AA658" s="1"/>
      <c r="AB658" s="1"/>
    </row>
    <row r="659" spans="26:28" ht="16.5" customHeight="1">
      <c r="Z659" s="1"/>
      <c r="AA659" s="1"/>
      <c r="AB659" s="1"/>
    </row>
    <row r="660" spans="26:28" ht="16.5" customHeight="1">
      <c r="Z660" s="1"/>
      <c r="AA660" s="1"/>
      <c r="AB660" s="1"/>
    </row>
    <row r="661" spans="26:28" ht="16.5" customHeight="1">
      <c r="Z661" s="1"/>
      <c r="AA661" s="1"/>
      <c r="AB661" s="1"/>
    </row>
    <row r="662" spans="26:28" ht="16.5" customHeight="1">
      <c r="Z662" s="1"/>
      <c r="AA662" s="1"/>
      <c r="AB662" s="1"/>
    </row>
    <row r="663" spans="26:28" ht="16.5" customHeight="1">
      <c r="Z663" s="1"/>
      <c r="AA663" s="1"/>
      <c r="AB663" s="1"/>
    </row>
    <row r="664" spans="26:28" ht="16.5" customHeight="1">
      <c r="Z664" s="1"/>
      <c r="AA664" s="1"/>
      <c r="AB664" s="1"/>
    </row>
    <row r="665" spans="26:28" ht="16.5" customHeight="1">
      <c r="Z665" s="1"/>
      <c r="AA665" s="1"/>
      <c r="AB665" s="1"/>
    </row>
    <row r="666" spans="26:28" ht="16.5" customHeight="1">
      <c r="Z666" s="1"/>
      <c r="AA666" s="1"/>
      <c r="AB666" s="1"/>
    </row>
    <row r="667" spans="26:28" ht="16.5" customHeight="1">
      <c r="Z667" s="1"/>
      <c r="AA667" s="1"/>
      <c r="AB667" s="1"/>
    </row>
    <row r="668" spans="26:28" ht="16.5" customHeight="1">
      <c r="Z668" s="1"/>
      <c r="AA668" s="1"/>
      <c r="AB668" s="1"/>
    </row>
    <row r="669" spans="26:28" ht="16.5" customHeight="1">
      <c r="Z669" s="1"/>
      <c r="AA669" s="1"/>
      <c r="AB669" s="1"/>
    </row>
    <row r="670" spans="26:28" ht="16.5" customHeight="1">
      <c r="Z670" s="1"/>
      <c r="AA670" s="1"/>
      <c r="AB670" s="1"/>
    </row>
    <row r="671" spans="26:28" ht="16.5" customHeight="1">
      <c r="Z671" s="1"/>
      <c r="AA671" s="1"/>
      <c r="AB671" s="1"/>
    </row>
    <row r="672" spans="26:28" ht="16.5" customHeight="1">
      <c r="Z672" s="1"/>
      <c r="AA672" s="1"/>
      <c r="AB672" s="1"/>
    </row>
    <row r="673" spans="26:28" ht="16.5" customHeight="1">
      <c r="Z673" s="1"/>
      <c r="AA673" s="1"/>
      <c r="AB673" s="1"/>
    </row>
    <row r="674" spans="26:28" ht="16.5" customHeight="1">
      <c r="Z674" s="1"/>
      <c r="AA674" s="1"/>
      <c r="AB674" s="1"/>
    </row>
    <row r="675" spans="26:28" ht="16.5" customHeight="1">
      <c r="Z675" s="1"/>
      <c r="AA675" s="1"/>
      <c r="AB675" s="1"/>
    </row>
    <row r="676" spans="26:28" ht="16.5" customHeight="1">
      <c r="Z676" s="1"/>
      <c r="AA676" s="1"/>
      <c r="AB676" s="1"/>
    </row>
    <row r="677" spans="26:28" ht="16.5" customHeight="1">
      <c r="Z677" s="1"/>
      <c r="AA677" s="1"/>
      <c r="AB677" s="1"/>
    </row>
    <row r="678" spans="26:28" ht="16.5" customHeight="1">
      <c r="Z678" s="1"/>
      <c r="AA678" s="1"/>
      <c r="AB678" s="1"/>
    </row>
    <row r="679" spans="26:28" ht="16.5" customHeight="1">
      <c r="Z679" s="1"/>
      <c r="AA679" s="1"/>
      <c r="AB679" s="1"/>
    </row>
    <row r="680" spans="26:28" ht="16.5" customHeight="1">
      <c r="Z680" s="1"/>
      <c r="AA680" s="1"/>
      <c r="AB680" s="1"/>
    </row>
    <row r="681" spans="26:28" ht="16.5" customHeight="1">
      <c r="Z681" s="1"/>
      <c r="AA681" s="1"/>
      <c r="AB681" s="1"/>
    </row>
    <row r="682" spans="26:28" ht="16.5" customHeight="1">
      <c r="Z682" s="1"/>
      <c r="AA682" s="1"/>
      <c r="AB682" s="1"/>
    </row>
    <row r="683" spans="26:28" ht="16.5" customHeight="1">
      <c r="Z683" s="1"/>
      <c r="AA683" s="1"/>
      <c r="AB683" s="1"/>
    </row>
    <row r="684" spans="26:28" ht="16.5" customHeight="1">
      <c r="Z684" s="1"/>
      <c r="AA684" s="1"/>
      <c r="AB684" s="1"/>
    </row>
    <row r="685" spans="26:28" ht="16.5" customHeight="1">
      <c r="Z685" s="1"/>
      <c r="AA685" s="1"/>
      <c r="AB685" s="1"/>
    </row>
    <row r="686" spans="26:28" ht="16.5" customHeight="1">
      <c r="Z686" s="1"/>
      <c r="AA686" s="1"/>
      <c r="AB686" s="1"/>
    </row>
    <row r="687" spans="26:28" ht="16.5" customHeight="1">
      <c r="Z687" s="1"/>
      <c r="AA687" s="1"/>
      <c r="AB687" s="1"/>
    </row>
    <row r="688" spans="26:28" ht="16.5" customHeight="1">
      <c r="Z688" s="1"/>
      <c r="AA688" s="1"/>
      <c r="AB688" s="1"/>
    </row>
    <row r="689" spans="26:28" ht="16.5" customHeight="1">
      <c r="Z689" s="1"/>
      <c r="AA689" s="1"/>
      <c r="AB689" s="1"/>
    </row>
    <row r="690" spans="26:28" ht="16.5" customHeight="1">
      <c r="Z690" s="1"/>
      <c r="AA690" s="1"/>
      <c r="AB690" s="1"/>
    </row>
    <row r="691" spans="26:28" ht="16.5" customHeight="1">
      <c r="Z691" s="1"/>
      <c r="AA691" s="1"/>
      <c r="AB691" s="1"/>
    </row>
    <row r="692" spans="26:28" ht="16.5" customHeight="1">
      <c r="Z692" s="1"/>
      <c r="AA692" s="1"/>
      <c r="AB692" s="1"/>
    </row>
    <row r="693" spans="26:28" ht="16.5" customHeight="1">
      <c r="Z693" s="1"/>
      <c r="AA693" s="1"/>
      <c r="AB693" s="1"/>
    </row>
    <row r="694" spans="26:28" ht="16.5" customHeight="1">
      <c r="Z694" s="1"/>
      <c r="AA694" s="1"/>
      <c r="AB694" s="1"/>
    </row>
    <row r="695" spans="26:28" ht="16.5" customHeight="1">
      <c r="Z695" s="1"/>
      <c r="AA695" s="1"/>
      <c r="AB695" s="1"/>
    </row>
    <row r="696" spans="26:28" ht="16.5" customHeight="1">
      <c r="Z696" s="1"/>
      <c r="AA696" s="1"/>
      <c r="AB696" s="1"/>
    </row>
    <row r="697" spans="26:28" ht="16.5" customHeight="1">
      <c r="Z697" s="1"/>
      <c r="AA697" s="1"/>
      <c r="AB697" s="1"/>
    </row>
    <row r="698" spans="26:28" ht="16.5" customHeight="1">
      <c r="Z698" s="1"/>
      <c r="AA698" s="1"/>
      <c r="AB698" s="1"/>
    </row>
    <row r="699" spans="26:28" ht="16.5" customHeight="1">
      <c r="Z699" s="1"/>
      <c r="AA699" s="1"/>
      <c r="AB699" s="1"/>
    </row>
    <row r="700" spans="26:28" ht="16.5" customHeight="1">
      <c r="Z700" s="1"/>
      <c r="AA700" s="1"/>
      <c r="AB700" s="1"/>
    </row>
    <row r="701" spans="26:28" ht="16.5" customHeight="1">
      <c r="Z701" s="1"/>
      <c r="AA701" s="1"/>
      <c r="AB701" s="1"/>
    </row>
    <row r="702" spans="26:28" ht="16.5" customHeight="1">
      <c r="Z702" s="1"/>
      <c r="AA702" s="1"/>
      <c r="AB702" s="1"/>
    </row>
    <row r="703" spans="26:28" ht="16.5" customHeight="1">
      <c r="Z703" s="1"/>
      <c r="AA703" s="1"/>
      <c r="AB703" s="1"/>
    </row>
    <row r="704" spans="26:28" ht="16.5" customHeight="1">
      <c r="Z704" s="1"/>
      <c r="AA704" s="1"/>
      <c r="AB704" s="1"/>
    </row>
    <row r="705" spans="26:28" ht="16.5" customHeight="1">
      <c r="Z705" s="1"/>
      <c r="AA705" s="1"/>
      <c r="AB705" s="1"/>
    </row>
    <row r="706" spans="26:28" ht="16.5" customHeight="1">
      <c r="Z706" s="1"/>
      <c r="AA706" s="1"/>
      <c r="AB706" s="1"/>
    </row>
    <row r="707" spans="26:28" ht="16.5" customHeight="1">
      <c r="Z707" s="1"/>
      <c r="AA707" s="1"/>
      <c r="AB707" s="1"/>
    </row>
    <row r="708" spans="26:28" ht="16.5" customHeight="1">
      <c r="Z708" s="1"/>
      <c r="AA708" s="1"/>
      <c r="AB708" s="1"/>
    </row>
    <row r="709" spans="26:28" ht="16.5" customHeight="1">
      <c r="Z709" s="1"/>
      <c r="AA709" s="1"/>
      <c r="AB709" s="1"/>
    </row>
    <row r="710" spans="26:28" ht="16.5" customHeight="1">
      <c r="Z710" s="1"/>
      <c r="AA710" s="1"/>
      <c r="AB710" s="1"/>
    </row>
    <row r="711" spans="26:28" ht="16.5" customHeight="1">
      <c r="Z711" s="1"/>
      <c r="AA711" s="1"/>
      <c r="AB711" s="1"/>
    </row>
    <row r="712" spans="26:28" ht="16.5" customHeight="1">
      <c r="Z712" s="1"/>
      <c r="AA712" s="1"/>
      <c r="AB712" s="1"/>
    </row>
    <row r="713" spans="26:28" ht="16.5" customHeight="1">
      <c r="Z713" s="1"/>
      <c r="AA713" s="1"/>
      <c r="AB713" s="1"/>
    </row>
    <row r="714" spans="26:28" ht="16.5" customHeight="1">
      <c r="Z714" s="1"/>
      <c r="AA714" s="1"/>
      <c r="AB714" s="1"/>
    </row>
    <row r="715" spans="26:28" ht="16.5" customHeight="1">
      <c r="Z715" s="1"/>
      <c r="AA715" s="1"/>
      <c r="AB715" s="1"/>
    </row>
    <row r="716" spans="26:28" ht="16.5" customHeight="1">
      <c r="Z716" s="1"/>
      <c r="AA716" s="1"/>
      <c r="AB716" s="1"/>
    </row>
    <row r="717" spans="26:28" ht="16.5" customHeight="1">
      <c r="Z717" s="1"/>
      <c r="AA717" s="1"/>
      <c r="AB717" s="1"/>
    </row>
    <row r="718" spans="26:28" ht="16.5" customHeight="1">
      <c r="Z718" s="1"/>
      <c r="AA718" s="1"/>
      <c r="AB718" s="1"/>
    </row>
    <row r="719" spans="26:28" ht="16.5" customHeight="1">
      <c r="Z719" s="1"/>
      <c r="AA719" s="1"/>
      <c r="AB719" s="1"/>
    </row>
    <row r="720" spans="26:28" ht="16.5" customHeight="1">
      <c r="Z720" s="1"/>
      <c r="AA720" s="1"/>
      <c r="AB720" s="1"/>
    </row>
    <row r="721" spans="26:28" ht="16.5" customHeight="1">
      <c r="Z721" s="1"/>
      <c r="AA721" s="1"/>
      <c r="AB721" s="1"/>
    </row>
    <row r="722" spans="26:28" ht="16.5" customHeight="1">
      <c r="Z722" s="1"/>
      <c r="AA722" s="1"/>
      <c r="AB722" s="1"/>
    </row>
    <row r="723" spans="26:28" ht="16.5" customHeight="1">
      <c r="Z723" s="1"/>
      <c r="AA723" s="1"/>
      <c r="AB723" s="1"/>
    </row>
    <row r="724" spans="26:28" ht="16.5" customHeight="1">
      <c r="Z724" s="1"/>
      <c r="AA724" s="1"/>
      <c r="AB724" s="1"/>
    </row>
    <row r="725" spans="26:28" ht="16.5" customHeight="1">
      <c r="Z725" s="1"/>
      <c r="AA725" s="1"/>
      <c r="AB725" s="1"/>
    </row>
    <row r="726" spans="26:28" ht="16.5" customHeight="1">
      <c r="Z726" s="1"/>
      <c r="AA726" s="1"/>
      <c r="AB726" s="1"/>
    </row>
    <row r="727" spans="26:28" ht="16.5" customHeight="1">
      <c r="Z727" s="1"/>
      <c r="AA727" s="1"/>
      <c r="AB727" s="1"/>
    </row>
    <row r="728" spans="26:28" ht="16.5" customHeight="1">
      <c r="Z728" s="1"/>
      <c r="AA728" s="1"/>
      <c r="AB728" s="1"/>
    </row>
    <row r="729" spans="26:28" ht="16.5" customHeight="1">
      <c r="Z729" s="1"/>
      <c r="AA729" s="1"/>
      <c r="AB729" s="1"/>
    </row>
    <row r="730" spans="26:28" ht="16.5" customHeight="1">
      <c r="Z730" s="1"/>
      <c r="AA730" s="1"/>
      <c r="AB730" s="1"/>
    </row>
    <row r="731" spans="26:28" ht="16.5" customHeight="1">
      <c r="Z731" s="1"/>
      <c r="AA731" s="1"/>
      <c r="AB731" s="1"/>
    </row>
    <row r="732" spans="26:28" ht="16.5" customHeight="1">
      <c r="Z732" s="1"/>
      <c r="AA732" s="1"/>
      <c r="AB732" s="1"/>
    </row>
    <row r="733" spans="26:28" ht="16.5" customHeight="1">
      <c r="Z733" s="1"/>
      <c r="AA733" s="1"/>
      <c r="AB733" s="1"/>
    </row>
    <row r="734" spans="26:28" ht="16.5" customHeight="1">
      <c r="Z734" s="1"/>
      <c r="AA734" s="1"/>
      <c r="AB734" s="1"/>
    </row>
    <row r="735" spans="26:28" ht="16.5" customHeight="1">
      <c r="Z735" s="1"/>
      <c r="AA735" s="1"/>
      <c r="AB735" s="1"/>
    </row>
    <row r="736" spans="26:28" ht="16.5" customHeight="1">
      <c r="Z736" s="1"/>
      <c r="AA736" s="1"/>
      <c r="AB736" s="1"/>
    </row>
    <row r="737" spans="26:28" ht="16.5" customHeight="1">
      <c r="Z737" s="1"/>
      <c r="AA737" s="1"/>
      <c r="AB737" s="1"/>
    </row>
    <row r="738" spans="26:28" ht="16.5" customHeight="1">
      <c r="Z738" s="1"/>
      <c r="AA738" s="1"/>
      <c r="AB738" s="1"/>
    </row>
    <row r="739" spans="26:28" ht="16.5" customHeight="1">
      <c r="Z739" s="1"/>
      <c r="AA739" s="1"/>
      <c r="AB739" s="1"/>
    </row>
    <row r="740" spans="26:28" ht="16.5" customHeight="1">
      <c r="Z740" s="1"/>
      <c r="AA740" s="1"/>
      <c r="AB740" s="1"/>
    </row>
    <row r="741" spans="26:28" ht="16.5" customHeight="1">
      <c r="Z741" s="1"/>
      <c r="AA741" s="1"/>
      <c r="AB741" s="1"/>
    </row>
    <row r="742" spans="26:28" ht="16.5" customHeight="1">
      <c r="Z742" s="1"/>
      <c r="AA742" s="1"/>
      <c r="AB742" s="1"/>
    </row>
    <row r="743" spans="26:28" ht="16.5" customHeight="1">
      <c r="Z743" s="1"/>
      <c r="AA743" s="1"/>
      <c r="AB743" s="1"/>
    </row>
    <row r="744" spans="26:28" ht="16.5" customHeight="1">
      <c r="Z744" s="1"/>
      <c r="AA744" s="1"/>
      <c r="AB744" s="1"/>
    </row>
    <row r="745" spans="26:28" ht="16.5" customHeight="1">
      <c r="Z745" s="1"/>
      <c r="AA745" s="1"/>
      <c r="AB745" s="1"/>
    </row>
    <row r="746" spans="26:28" ht="16.5" customHeight="1">
      <c r="Z746" s="1"/>
      <c r="AA746" s="1"/>
      <c r="AB746" s="1"/>
    </row>
    <row r="747" spans="26:28" ht="16.5" customHeight="1">
      <c r="Z747" s="1"/>
      <c r="AA747" s="1"/>
      <c r="AB747" s="1"/>
    </row>
    <row r="748" spans="26:28" ht="16.5" customHeight="1">
      <c r="Z748" s="1"/>
      <c r="AA748" s="1"/>
      <c r="AB748" s="1"/>
    </row>
    <row r="749" spans="26:28" ht="16.5" customHeight="1">
      <c r="Z749" s="1"/>
      <c r="AA749" s="1"/>
      <c r="AB749" s="1"/>
    </row>
    <row r="750" spans="26:28" ht="16.5" customHeight="1">
      <c r="Z750" s="1"/>
      <c r="AA750" s="1"/>
      <c r="AB750" s="1"/>
    </row>
    <row r="751" spans="26:28" ht="16.5" customHeight="1">
      <c r="Z751" s="1"/>
      <c r="AA751" s="1"/>
      <c r="AB751" s="1"/>
    </row>
    <row r="752" spans="26:28" ht="16.5" customHeight="1">
      <c r="Z752" s="1"/>
      <c r="AA752" s="1"/>
      <c r="AB752" s="1"/>
    </row>
    <row r="753" spans="26:28" ht="16.5" customHeight="1">
      <c r="Z753" s="1"/>
      <c r="AA753" s="1"/>
      <c r="AB753" s="1"/>
    </row>
    <row r="754" spans="26:28" ht="16.5" customHeight="1">
      <c r="Z754" s="1"/>
      <c r="AA754" s="1"/>
      <c r="AB754" s="1"/>
    </row>
    <row r="755" spans="26:28" ht="16.5" customHeight="1">
      <c r="Z755" s="1"/>
      <c r="AA755" s="1"/>
      <c r="AB755" s="1"/>
    </row>
    <row r="756" spans="26:28" ht="16.5" customHeight="1">
      <c r="Z756" s="1"/>
      <c r="AA756" s="1"/>
      <c r="AB756" s="1"/>
    </row>
    <row r="757" spans="26:28" ht="16.5" customHeight="1">
      <c r="Z757" s="1"/>
      <c r="AA757" s="1"/>
      <c r="AB757" s="1"/>
    </row>
    <row r="758" spans="26:28" ht="16.5" customHeight="1">
      <c r="Z758" s="1"/>
      <c r="AA758" s="1"/>
      <c r="AB758" s="1"/>
    </row>
    <row r="759" spans="26:28" ht="16.5" customHeight="1">
      <c r="Z759" s="1"/>
      <c r="AA759" s="1"/>
      <c r="AB759" s="1"/>
    </row>
    <row r="760" spans="26:28" ht="16.5" customHeight="1">
      <c r="Z760" s="1"/>
      <c r="AA760" s="1"/>
      <c r="AB760" s="1"/>
    </row>
    <row r="761" spans="26:28" ht="16.5" customHeight="1">
      <c r="Z761" s="1"/>
      <c r="AA761" s="1"/>
      <c r="AB761" s="1"/>
    </row>
    <row r="762" spans="26:28" ht="16.5" customHeight="1">
      <c r="Z762" s="1"/>
      <c r="AA762" s="1"/>
      <c r="AB762" s="1"/>
    </row>
    <row r="763" spans="26:28" ht="16.5" customHeight="1">
      <c r="Z763" s="1"/>
      <c r="AA763" s="1"/>
      <c r="AB763" s="1"/>
    </row>
    <row r="764" spans="26:28" ht="16.5" customHeight="1">
      <c r="Z764" s="1"/>
      <c r="AA764" s="1"/>
      <c r="AB764" s="1"/>
    </row>
    <row r="765" spans="26:28" ht="16.5" customHeight="1">
      <c r="Z765" s="1"/>
      <c r="AA765" s="1"/>
      <c r="AB765" s="1"/>
    </row>
    <row r="766" spans="26:28" ht="16.5" customHeight="1">
      <c r="Z766" s="1"/>
      <c r="AA766" s="1"/>
      <c r="AB766" s="1"/>
    </row>
    <row r="767" spans="26:28" ht="16.5" customHeight="1">
      <c r="Z767" s="1"/>
      <c r="AA767" s="1"/>
      <c r="AB767" s="1"/>
    </row>
    <row r="768" spans="26:28" ht="16.5" customHeight="1">
      <c r="Z768" s="1"/>
      <c r="AA768" s="1"/>
      <c r="AB768" s="1"/>
    </row>
    <row r="769" spans="26:28" ht="16.5" customHeight="1">
      <c r="Z769" s="1"/>
      <c r="AA769" s="1"/>
      <c r="AB769" s="1"/>
    </row>
    <row r="770" spans="26:28" ht="16.5" customHeight="1">
      <c r="Z770" s="1"/>
      <c r="AA770" s="1"/>
      <c r="AB770" s="1"/>
    </row>
    <row r="771" spans="26:28" ht="16.5" customHeight="1">
      <c r="Z771" s="1"/>
      <c r="AA771" s="1"/>
      <c r="AB771" s="1"/>
    </row>
    <row r="772" spans="26:28" ht="16.5" customHeight="1">
      <c r="Z772" s="1"/>
      <c r="AA772" s="1"/>
      <c r="AB772" s="1"/>
    </row>
    <row r="773" spans="26:28" ht="16.5" customHeight="1">
      <c r="Z773" s="1"/>
      <c r="AA773" s="1"/>
      <c r="AB773" s="1"/>
    </row>
    <row r="774" spans="26:28" ht="16.5" customHeight="1">
      <c r="Z774" s="1"/>
      <c r="AA774" s="1"/>
      <c r="AB774" s="1"/>
    </row>
    <row r="775" spans="26:28" ht="16.5" customHeight="1">
      <c r="Z775" s="1"/>
      <c r="AA775" s="1"/>
      <c r="AB775" s="1"/>
    </row>
    <row r="776" spans="26:28" ht="16.5" customHeight="1">
      <c r="Z776" s="1"/>
      <c r="AA776" s="1"/>
      <c r="AB776" s="1"/>
    </row>
    <row r="777" spans="26:28" ht="16.5" customHeight="1">
      <c r="Z777" s="1"/>
      <c r="AA777" s="1"/>
      <c r="AB777" s="1"/>
    </row>
    <row r="778" spans="26:28" ht="16.5" customHeight="1">
      <c r="Z778" s="1"/>
      <c r="AA778" s="1"/>
      <c r="AB778" s="1"/>
    </row>
    <row r="779" spans="26:28" ht="16.5" customHeight="1">
      <c r="Z779" s="1"/>
      <c r="AA779" s="1"/>
      <c r="AB779" s="1"/>
    </row>
    <row r="780" spans="26:28" ht="16.5" customHeight="1">
      <c r="Z780" s="1"/>
      <c r="AA780" s="1"/>
      <c r="AB780" s="1"/>
    </row>
    <row r="781" spans="26:28" ht="16.5" customHeight="1">
      <c r="Z781" s="1"/>
      <c r="AA781" s="1"/>
      <c r="AB781" s="1"/>
    </row>
    <row r="782" spans="26:28" ht="16.5" customHeight="1">
      <c r="Z782" s="1"/>
      <c r="AA782" s="1"/>
      <c r="AB782" s="1"/>
    </row>
    <row r="783" spans="26:28" ht="16.5" customHeight="1">
      <c r="Z783" s="1"/>
      <c r="AA783" s="1"/>
      <c r="AB783" s="1"/>
    </row>
    <row r="784" spans="26:28" ht="16.5" customHeight="1">
      <c r="Z784" s="1"/>
      <c r="AA784" s="1"/>
      <c r="AB784" s="1"/>
    </row>
    <row r="785" spans="26:28" ht="16.5" customHeight="1">
      <c r="Z785" s="1"/>
      <c r="AA785" s="1"/>
      <c r="AB785" s="1"/>
    </row>
    <row r="786" spans="26:28" ht="16.5" customHeight="1">
      <c r="Z786" s="1"/>
      <c r="AA786" s="1"/>
      <c r="AB786" s="1"/>
    </row>
    <row r="787" spans="26:28" ht="16.5" customHeight="1">
      <c r="Z787" s="1"/>
      <c r="AA787" s="1"/>
      <c r="AB787" s="1"/>
    </row>
    <row r="788" spans="26:28" ht="16.5" customHeight="1">
      <c r="Z788" s="1"/>
      <c r="AA788" s="1"/>
      <c r="AB788" s="1"/>
    </row>
    <row r="789" spans="26:28" ht="16.5" customHeight="1">
      <c r="Z789" s="1"/>
      <c r="AA789" s="1"/>
      <c r="AB789" s="1"/>
    </row>
    <row r="790" spans="26:28" ht="16.5" customHeight="1">
      <c r="Z790" s="1"/>
      <c r="AA790" s="1"/>
      <c r="AB790" s="1"/>
    </row>
    <row r="791" spans="26:28" ht="16.5" customHeight="1">
      <c r="Z791" s="1"/>
      <c r="AA791" s="1"/>
      <c r="AB791" s="1"/>
    </row>
    <row r="792" spans="26:28" ht="16.5" customHeight="1">
      <c r="Z792" s="1"/>
      <c r="AA792" s="1"/>
      <c r="AB792" s="1"/>
    </row>
    <row r="793" spans="26:28" ht="16.5" customHeight="1">
      <c r="Z793" s="1"/>
      <c r="AA793" s="1"/>
      <c r="AB793" s="1"/>
    </row>
    <row r="794" spans="26:28" ht="16.5" customHeight="1">
      <c r="Z794" s="1"/>
      <c r="AA794" s="1"/>
      <c r="AB794" s="1"/>
    </row>
    <row r="795" spans="26:28" ht="16.5" customHeight="1">
      <c r="Z795" s="1"/>
      <c r="AA795" s="1"/>
      <c r="AB795" s="1"/>
    </row>
    <row r="796" spans="26:28" ht="16.5" customHeight="1">
      <c r="Z796" s="1"/>
      <c r="AA796" s="1"/>
      <c r="AB796" s="1"/>
    </row>
    <row r="797" spans="26:28" ht="16.5" customHeight="1">
      <c r="Z797" s="1"/>
      <c r="AA797" s="1"/>
      <c r="AB797" s="1"/>
    </row>
    <row r="798" spans="26:28" ht="16.5" customHeight="1">
      <c r="Z798" s="1"/>
      <c r="AA798" s="1"/>
      <c r="AB798" s="1"/>
    </row>
    <row r="799" spans="26:28" ht="16.5" customHeight="1">
      <c r="Z799" s="1"/>
      <c r="AA799" s="1"/>
      <c r="AB799" s="1"/>
    </row>
    <row r="800" spans="26:28" ht="16.5" customHeight="1">
      <c r="Z800" s="1"/>
      <c r="AA800" s="1"/>
      <c r="AB800" s="1"/>
    </row>
    <row r="801" spans="26:28" ht="16.5" customHeight="1">
      <c r="Z801" s="1"/>
      <c r="AA801" s="1"/>
      <c r="AB801" s="1"/>
    </row>
    <row r="802" spans="26:28" ht="16.5" customHeight="1">
      <c r="Z802" s="1"/>
      <c r="AA802" s="1"/>
      <c r="AB802" s="1"/>
    </row>
    <row r="803" spans="26:28" ht="16.5" customHeight="1">
      <c r="Z803" s="1"/>
      <c r="AA803" s="1"/>
      <c r="AB803" s="1"/>
    </row>
    <row r="804" spans="26:28" ht="16.5" customHeight="1">
      <c r="Z804" s="1"/>
      <c r="AA804" s="1"/>
      <c r="AB804" s="1"/>
    </row>
    <row r="805" spans="26:28" ht="16.5" customHeight="1">
      <c r="Z805" s="1"/>
      <c r="AA805" s="1"/>
      <c r="AB805" s="1"/>
    </row>
    <row r="806" spans="26:28" ht="16.5" customHeight="1">
      <c r="Z806" s="1"/>
      <c r="AA806" s="1"/>
      <c r="AB806" s="1"/>
    </row>
    <row r="807" spans="26:28" ht="16.5" customHeight="1">
      <c r="Z807" s="1"/>
      <c r="AA807" s="1"/>
      <c r="AB807" s="1"/>
    </row>
    <row r="808" spans="26:28" ht="16.5" customHeight="1">
      <c r="Z808" s="1"/>
      <c r="AA808" s="1"/>
      <c r="AB808" s="1"/>
    </row>
    <row r="809" spans="26:28" ht="16.5" customHeight="1">
      <c r="Z809" s="1"/>
      <c r="AA809" s="1"/>
      <c r="AB809" s="1"/>
    </row>
    <row r="810" spans="26:28" ht="16.5" customHeight="1">
      <c r="Z810" s="1"/>
      <c r="AA810" s="1"/>
      <c r="AB810" s="1"/>
    </row>
    <row r="811" spans="26:28" ht="16.5" customHeight="1">
      <c r="Z811" s="1"/>
      <c r="AA811" s="1"/>
      <c r="AB811" s="1"/>
    </row>
    <row r="812" spans="26:28" ht="16.5" customHeight="1">
      <c r="Z812" s="1"/>
      <c r="AA812" s="1"/>
      <c r="AB812" s="1"/>
    </row>
    <row r="813" spans="26:28" ht="16.5" customHeight="1">
      <c r="Z813" s="1"/>
      <c r="AA813" s="1"/>
      <c r="AB813" s="1"/>
    </row>
    <row r="814" spans="26:28" ht="16.5" customHeight="1">
      <c r="Z814" s="1"/>
      <c r="AA814" s="1"/>
      <c r="AB814" s="1"/>
    </row>
    <row r="815" spans="26:28" ht="16.5" customHeight="1">
      <c r="Z815" s="1"/>
      <c r="AA815" s="1"/>
      <c r="AB815" s="1"/>
    </row>
    <row r="816" spans="26:28" ht="16.5" customHeight="1">
      <c r="Z816" s="1"/>
      <c r="AA816" s="1"/>
      <c r="AB816" s="1"/>
    </row>
    <row r="817" spans="26:28" ht="16.5" customHeight="1">
      <c r="Z817" s="1"/>
      <c r="AA817" s="1"/>
      <c r="AB817" s="1"/>
    </row>
    <row r="818" spans="26:28" ht="16.5" customHeight="1">
      <c r="Z818" s="1"/>
      <c r="AA818" s="1"/>
      <c r="AB818" s="1"/>
    </row>
    <row r="819" spans="26:28" ht="16.5" customHeight="1">
      <c r="Z819" s="1"/>
      <c r="AA819" s="1"/>
      <c r="AB819" s="1"/>
    </row>
    <row r="820" spans="26:28" ht="16.5" customHeight="1">
      <c r="Z820" s="1"/>
      <c r="AA820" s="1"/>
      <c r="AB820" s="1"/>
    </row>
    <row r="821" spans="26:28" ht="16.5" customHeight="1">
      <c r="Z821" s="1"/>
      <c r="AA821" s="1"/>
      <c r="AB821" s="1"/>
    </row>
    <row r="822" spans="26:28" ht="16.5" customHeight="1">
      <c r="Z822" s="1"/>
      <c r="AA822" s="1"/>
      <c r="AB822" s="1"/>
    </row>
    <row r="823" spans="26:28" ht="16.5" customHeight="1">
      <c r="Z823" s="1"/>
      <c r="AA823" s="1"/>
      <c r="AB823" s="1"/>
    </row>
    <row r="824" spans="26:28" ht="16.5" customHeight="1">
      <c r="Z824" s="1"/>
      <c r="AA824" s="1"/>
      <c r="AB824" s="1"/>
    </row>
    <row r="825" spans="26:28" ht="16.5" customHeight="1">
      <c r="Z825" s="1"/>
      <c r="AA825" s="1"/>
      <c r="AB825" s="1"/>
    </row>
    <row r="826" spans="26:28" ht="16.5" customHeight="1">
      <c r="Z826" s="1"/>
      <c r="AA826" s="1"/>
      <c r="AB826" s="1"/>
    </row>
    <row r="827" spans="26:28" ht="16.5" customHeight="1">
      <c r="Z827" s="1"/>
      <c r="AA827" s="1"/>
      <c r="AB827" s="1"/>
    </row>
    <row r="828" spans="26:28" ht="16.5" customHeight="1">
      <c r="Z828" s="1"/>
      <c r="AA828" s="1"/>
      <c r="AB828" s="1"/>
    </row>
    <row r="829" spans="26:28" ht="16.5" customHeight="1">
      <c r="Z829" s="1"/>
      <c r="AA829" s="1"/>
      <c r="AB829" s="1"/>
    </row>
    <row r="830" spans="26:28" ht="16.5" customHeight="1">
      <c r="Z830" s="1"/>
      <c r="AA830" s="1"/>
      <c r="AB830" s="1"/>
    </row>
    <row r="831" spans="26:28" ht="16.5" customHeight="1">
      <c r="Z831" s="1"/>
      <c r="AA831" s="1"/>
      <c r="AB831" s="1"/>
    </row>
    <row r="832" spans="26:28" ht="16.5" customHeight="1">
      <c r="Z832" s="1"/>
      <c r="AA832" s="1"/>
      <c r="AB832" s="1"/>
    </row>
    <row r="833" spans="26:28" ht="16.5" customHeight="1">
      <c r="Z833" s="1"/>
      <c r="AA833" s="1"/>
      <c r="AB833" s="1"/>
    </row>
    <row r="834" spans="26:28" ht="16.5" customHeight="1">
      <c r="Z834" s="1"/>
      <c r="AA834" s="1"/>
      <c r="AB834" s="1"/>
    </row>
    <row r="835" spans="26:28" ht="16.5" customHeight="1">
      <c r="Z835" s="1"/>
      <c r="AA835" s="1"/>
      <c r="AB835" s="1"/>
    </row>
    <row r="836" spans="26:28" ht="16.5" customHeight="1">
      <c r="Z836" s="1"/>
      <c r="AA836" s="1"/>
      <c r="AB836" s="1"/>
    </row>
    <row r="837" spans="26:28" ht="16.5" customHeight="1">
      <c r="Z837" s="1"/>
      <c r="AA837" s="1"/>
      <c r="AB837" s="1"/>
    </row>
    <row r="838" spans="26:28" ht="16.5" customHeight="1">
      <c r="Z838" s="1"/>
      <c r="AA838" s="1"/>
      <c r="AB838" s="1"/>
    </row>
    <row r="839" spans="26:28" ht="16.5" customHeight="1">
      <c r="Z839" s="1"/>
      <c r="AA839" s="1"/>
      <c r="AB839" s="1"/>
    </row>
    <row r="840" spans="26:28" ht="16.5" customHeight="1">
      <c r="Z840" s="1"/>
      <c r="AA840" s="1"/>
      <c r="AB840" s="1"/>
    </row>
    <row r="841" spans="26:28" ht="16.5" customHeight="1">
      <c r="Z841" s="1"/>
      <c r="AA841" s="1"/>
      <c r="AB841" s="1"/>
    </row>
    <row r="842" spans="26:28" ht="16.5" customHeight="1">
      <c r="Z842" s="1"/>
      <c r="AA842" s="1"/>
      <c r="AB842" s="1"/>
    </row>
    <row r="843" spans="26:28" ht="16.5" customHeight="1">
      <c r="Z843" s="1"/>
      <c r="AA843" s="1"/>
      <c r="AB843" s="1"/>
    </row>
    <row r="844" spans="26:28" ht="16.5" customHeight="1">
      <c r="Z844" s="1"/>
      <c r="AA844" s="1"/>
      <c r="AB844" s="1"/>
    </row>
    <row r="845" spans="26:28" ht="16.5" customHeight="1">
      <c r="Z845" s="1"/>
      <c r="AA845" s="1"/>
      <c r="AB845" s="1"/>
    </row>
    <row r="846" spans="26:28" ht="16.5" customHeight="1">
      <c r="Z846" s="1"/>
      <c r="AA846" s="1"/>
      <c r="AB846" s="1"/>
    </row>
    <row r="847" spans="26:28" ht="16.5" customHeight="1">
      <c r="Z847" s="1"/>
      <c r="AA847" s="1"/>
      <c r="AB847" s="1"/>
    </row>
    <row r="848" spans="26:28" ht="16.5" customHeight="1">
      <c r="Z848" s="1"/>
      <c r="AA848" s="1"/>
      <c r="AB848" s="1"/>
    </row>
    <row r="849" spans="26:28" ht="16.5" customHeight="1">
      <c r="Z849" s="1"/>
      <c r="AA849" s="1"/>
      <c r="AB849" s="1"/>
    </row>
    <row r="850" spans="26:28" ht="16.5" customHeight="1">
      <c r="Z850" s="1"/>
      <c r="AA850" s="1"/>
      <c r="AB850" s="1"/>
    </row>
    <row r="851" spans="26:28" ht="16.5" customHeight="1">
      <c r="Z851" s="1"/>
      <c r="AA851" s="1"/>
      <c r="AB851" s="1"/>
    </row>
    <row r="852" spans="26:28" ht="16.5" customHeight="1">
      <c r="Z852" s="1"/>
      <c r="AA852" s="1"/>
      <c r="AB852" s="1"/>
    </row>
    <row r="853" spans="26:28" ht="16.5" customHeight="1">
      <c r="Z853" s="1"/>
      <c r="AA853" s="1"/>
      <c r="AB853" s="1"/>
    </row>
    <row r="854" spans="26:28" ht="16.5" customHeight="1">
      <c r="Z854" s="1"/>
      <c r="AA854" s="1"/>
      <c r="AB854" s="1"/>
    </row>
    <row r="855" spans="26:28" ht="16.5" customHeight="1">
      <c r="Z855" s="1"/>
      <c r="AA855" s="1"/>
      <c r="AB855" s="1"/>
    </row>
    <row r="856" spans="26:28" ht="16.5" customHeight="1">
      <c r="Z856" s="1"/>
      <c r="AA856" s="1"/>
      <c r="AB856" s="1"/>
    </row>
    <row r="857" spans="26:28" ht="16.5" customHeight="1">
      <c r="Z857" s="1"/>
      <c r="AA857" s="1"/>
      <c r="AB857" s="1"/>
    </row>
    <row r="858" spans="26:28" ht="16.5" customHeight="1">
      <c r="Z858" s="1"/>
      <c r="AA858" s="1"/>
      <c r="AB858" s="1"/>
    </row>
    <row r="859" spans="26:28" ht="16.5" customHeight="1">
      <c r="Z859" s="1"/>
      <c r="AA859" s="1"/>
      <c r="AB859" s="1"/>
    </row>
    <row r="860" spans="26:28" ht="16.5" customHeight="1">
      <c r="Z860" s="1"/>
      <c r="AA860" s="1"/>
      <c r="AB860" s="1"/>
    </row>
    <row r="861" spans="26:28" ht="16.5" customHeight="1">
      <c r="Z861" s="1"/>
      <c r="AA861" s="1"/>
      <c r="AB861" s="1"/>
    </row>
    <row r="862" spans="26:28" ht="16.5" customHeight="1">
      <c r="Z862" s="1"/>
      <c r="AA862" s="1"/>
      <c r="AB862" s="1"/>
    </row>
    <row r="863" spans="26:28" ht="16.5" customHeight="1">
      <c r="Z863" s="1"/>
      <c r="AA863" s="1"/>
      <c r="AB863" s="1"/>
    </row>
    <row r="864" spans="26:28" ht="16.5" customHeight="1">
      <c r="Z864" s="1"/>
      <c r="AA864" s="1"/>
      <c r="AB864" s="1"/>
    </row>
    <row r="865" spans="26:28" ht="16.5" customHeight="1">
      <c r="Z865" s="1"/>
      <c r="AA865" s="1"/>
      <c r="AB865" s="1"/>
    </row>
    <row r="866" spans="26:28" ht="16.5" customHeight="1">
      <c r="Z866" s="1"/>
      <c r="AA866" s="1"/>
      <c r="AB866" s="1"/>
    </row>
    <row r="867" spans="26:28" ht="16.5" customHeight="1">
      <c r="Z867" s="1"/>
      <c r="AA867" s="1"/>
      <c r="AB867" s="1"/>
    </row>
    <row r="868" spans="26:28" ht="16.5" customHeight="1">
      <c r="Z868" s="1"/>
      <c r="AA868" s="1"/>
      <c r="AB868" s="1"/>
    </row>
    <row r="869" spans="26:28" ht="16.5" customHeight="1">
      <c r="Z869" s="1"/>
      <c r="AA869" s="1"/>
      <c r="AB869" s="1"/>
    </row>
    <row r="870" spans="26:28" ht="16.5" customHeight="1">
      <c r="Z870" s="1"/>
      <c r="AA870" s="1"/>
      <c r="AB870" s="1"/>
    </row>
    <row r="871" spans="26:28" ht="16.5" customHeight="1">
      <c r="Z871" s="1"/>
      <c r="AA871" s="1"/>
      <c r="AB871" s="1"/>
    </row>
    <row r="872" spans="26:28" ht="16.5" customHeight="1">
      <c r="Z872" s="1"/>
      <c r="AA872" s="1"/>
      <c r="AB872" s="1"/>
    </row>
    <row r="873" spans="26:28" ht="16.5" customHeight="1">
      <c r="Z873" s="1"/>
      <c r="AA873" s="1"/>
      <c r="AB873" s="1"/>
    </row>
    <row r="874" spans="26:28" ht="16.5" customHeight="1">
      <c r="Z874" s="1"/>
      <c r="AA874" s="1"/>
      <c r="AB874" s="1"/>
    </row>
    <row r="875" spans="26:28" ht="16.5" customHeight="1">
      <c r="Z875" s="1"/>
      <c r="AA875" s="1"/>
      <c r="AB875" s="1"/>
    </row>
    <row r="876" spans="26:28" ht="16.5" customHeight="1">
      <c r="Z876" s="1"/>
      <c r="AA876" s="1"/>
      <c r="AB876" s="1"/>
    </row>
    <row r="877" spans="26:28" ht="16.5" customHeight="1">
      <c r="Z877" s="1"/>
      <c r="AA877" s="1"/>
      <c r="AB877" s="1"/>
    </row>
    <row r="878" spans="26:28" ht="16.5" customHeight="1">
      <c r="Z878" s="1"/>
      <c r="AA878" s="1"/>
      <c r="AB878" s="1"/>
    </row>
    <row r="879" spans="26:28" ht="16.5" customHeight="1">
      <c r="Z879" s="1"/>
      <c r="AA879" s="1"/>
      <c r="AB879" s="1"/>
    </row>
    <row r="880" spans="26:28" ht="16.5" customHeight="1">
      <c r="Z880" s="1"/>
      <c r="AA880" s="1"/>
      <c r="AB880" s="1"/>
    </row>
    <row r="881" spans="26:28" ht="16.5" customHeight="1">
      <c r="Z881" s="1"/>
      <c r="AA881" s="1"/>
      <c r="AB881" s="1"/>
    </row>
    <row r="882" spans="26:28" ht="16.5" customHeight="1">
      <c r="Z882" s="1"/>
      <c r="AA882" s="1"/>
      <c r="AB882" s="1"/>
    </row>
    <row r="883" spans="26:28" ht="16.5" customHeight="1">
      <c r="Z883" s="1"/>
      <c r="AA883" s="1"/>
      <c r="AB883" s="1"/>
    </row>
    <row r="884" spans="26:28" ht="16.5" customHeight="1">
      <c r="Z884" s="1"/>
      <c r="AA884" s="1"/>
      <c r="AB884" s="1"/>
    </row>
    <row r="885" spans="26:28" ht="16.5" customHeight="1">
      <c r="Z885" s="1"/>
      <c r="AA885" s="1"/>
      <c r="AB885" s="1"/>
    </row>
    <row r="886" spans="26:28" ht="16.5" customHeight="1">
      <c r="Z886" s="1"/>
      <c r="AA886" s="1"/>
      <c r="AB886" s="1"/>
    </row>
    <row r="887" spans="26:28" ht="16.5" customHeight="1">
      <c r="Z887" s="1"/>
      <c r="AA887" s="1"/>
      <c r="AB887" s="1"/>
    </row>
    <row r="888" spans="26:28" ht="16.5" customHeight="1">
      <c r="Z888" s="1"/>
      <c r="AA888" s="1"/>
      <c r="AB888" s="1"/>
    </row>
    <row r="889" spans="26:28" ht="16.5" customHeight="1">
      <c r="Z889" s="1"/>
      <c r="AA889" s="1"/>
      <c r="AB889" s="1"/>
    </row>
    <row r="890" spans="26:28" ht="16.5" customHeight="1">
      <c r="Z890" s="1"/>
      <c r="AA890" s="1"/>
      <c r="AB890" s="1"/>
    </row>
    <row r="891" spans="26:28" ht="16.5" customHeight="1">
      <c r="Z891" s="1"/>
      <c r="AA891" s="1"/>
      <c r="AB891" s="1"/>
    </row>
    <row r="892" spans="26:28" ht="16.5" customHeight="1">
      <c r="Z892" s="1"/>
      <c r="AA892" s="1"/>
      <c r="AB892" s="1"/>
    </row>
    <row r="893" spans="26:28" ht="16.5" customHeight="1">
      <c r="Z893" s="1"/>
      <c r="AA893" s="1"/>
      <c r="AB893" s="1"/>
    </row>
    <row r="894" spans="26:28" ht="16.5" customHeight="1">
      <c r="Z894" s="1"/>
      <c r="AA894" s="1"/>
      <c r="AB894" s="1"/>
    </row>
    <row r="895" spans="26:28" ht="16.5" customHeight="1">
      <c r="Z895" s="1"/>
      <c r="AA895" s="1"/>
      <c r="AB895" s="1"/>
    </row>
    <row r="896" spans="26:28" ht="16.5" customHeight="1">
      <c r="Z896" s="1"/>
      <c r="AA896" s="1"/>
      <c r="AB896" s="1"/>
    </row>
    <row r="897" spans="26:28" ht="16.5" customHeight="1">
      <c r="Z897" s="1"/>
      <c r="AA897" s="1"/>
      <c r="AB897" s="1"/>
    </row>
    <row r="898" spans="26:28" ht="16.5" customHeight="1">
      <c r="Z898" s="1"/>
      <c r="AA898" s="1"/>
      <c r="AB898" s="1"/>
    </row>
    <row r="899" spans="26:28" ht="16.5" customHeight="1">
      <c r="Z899" s="1"/>
      <c r="AA899" s="1"/>
      <c r="AB899" s="1"/>
    </row>
    <row r="900" spans="26:28" ht="16.5" customHeight="1">
      <c r="Z900" s="1"/>
      <c r="AA900" s="1"/>
      <c r="AB900" s="1"/>
    </row>
    <row r="901" spans="26:28" ht="16.5" customHeight="1">
      <c r="Z901" s="1"/>
      <c r="AA901" s="1"/>
      <c r="AB901" s="1"/>
    </row>
    <row r="902" spans="26:28" ht="16.5" customHeight="1">
      <c r="Z902" s="1"/>
      <c r="AA902" s="1"/>
      <c r="AB902" s="1"/>
    </row>
    <row r="903" spans="26:28" ht="16.5" customHeight="1">
      <c r="Z903" s="1"/>
      <c r="AA903" s="1"/>
      <c r="AB903" s="1"/>
    </row>
    <row r="904" spans="26:28" ht="16.5" customHeight="1">
      <c r="Z904" s="1"/>
      <c r="AA904" s="1"/>
      <c r="AB904" s="1"/>
    </row>
    <row r="905" spans="26:28" ht="16.5" customHeight="1">
      <c r="Z905" s="1"/>
      <c r="AA905" s="1"/>
      <c r="AB905" s="1"/>
    </row>
    <row r="906" spans="26:28" ht="16.5" customHeight="1">
      <c r="Z906" s="1"/>
      <c r="AA906" s="1"/>
      <c r="AB906" s="1"/>
    </row>
    <row r="907" spans="26:28" ht="16.5" customHeight="1">
      <c r="Z907" s="1"/>
      <c r="AA907" s="1"/>
      <c r="AB907" s="1"/>
    </row>
    <row r="908" spans="26:28" ht="16.5" customHeight="1">
      <c r="Z908" s="1"/>
      <c r="AA908" s="1"/>
      <c r="AB908" s="1"/>
    </row>
    <row r="909" spans="26:28" ht="16.5" customHeight="1">
      <c r="Z909" s="1"/>
      <c r="AA909" s="1"/>
      <c r="AB909" s="1"/>
    </row>
    <row r="910" spans="26:28" ht="16.5" customHeight="1">
      <c r="Z910" s="1"/>
      <c r="AA910" s="1"/>
      <c r="AB910" s="1"/>
    </row>
    <row r="911" spans="26:28" ht="16.5" customHeight="1">
      <c r="Z911" s="1"/>
      <c r="AA911" s="1"/>
      <c r="AB911" s="1"/>
    </row>
    <row r="912" spans="26:28" ht="16.5" customHeight="1">
      <c r="Z912" s="1"/>
      <c r="AA912" s="1"/>
      <c r="AB912" s="1"/>
    </row>
    <row r="913" spans="26:28" ht="16.5" customHeight="1">
      <c r="Z913" s="1"/>
      <c r="AA913" s="1"/>
      <c r="AB913" s="1"/>
    </row>
    <row r="914" spans="26:28" ht="16.5" customHeight="1">
      <c r="Z914" s="1"/>
      <c r="AA914" s="1"/>
      <c r="AB914" s="1"/>
    </row>
    <row r="915" spans="26:28" ht="16.5" customHeight="1">
      <c r="Z915" s="1"/>
      <c r="AA915" s="1"/>
      <c r="AB915" s="1"/>
    </row>
    <row r="916" spans="26:28" ht="16.5" customHeight="1">
      <c r="Z916" s="1"/>
      <c r="AA916" s="1"/>
      <c r="AB916" s="1"/>
    </row>
    <row r="917" spans="26:28" ht="16.5" customHeight="1">
      <c r="Z917" s="1"/>
      <c r="AA917" s="1"/>
      <c r="AB917" s="1"/>
    </row>
    <row r="918" spans="26:28" ht="16.5" customHeight="1">
      <c r="Z918" s="1"/>
      <c r="AA918" s="1"/>
      <c r="AB918" s="1"/>
    </row>
    <row r="919" spans="26:28" ht="16.5" customHeight="1">
      <c r="Z919" s="1"/>
      <c r="AA919" s="1"/>
      <c r="AB919" s="1"/>
    </row>
    <row r="920" spans="26:28" ht="16.5" customHeight="1">
      <c r="Z920" s="1"/>
      <c r="AA920" s="1"/>
      <c r="AB920" s="1"/>
    </row>
    <row r="921" spans="26:28" ht="16.5" customHeight="1">
      <c r="Z921" s="1"/>
      <c r="AA921" s="1"/>
      <c r="AB921" s="1"/>
    </row>
    <row r="922" spans="26:28" ht="16.5" customHeight="1">
      <c r="Z922" s="1"/>
      <c r="AA922" s="1"/>
      <c r="AB922" s="1"/>
    </row>
    <row r="923" spans="26:28" ht="16.5" customHeight="1">
      <c r="Z923" s="1"/>
      <c r="AA923" s="1"/>
      <c r="AB923" s="1"/>
    </row>
    <row r="924" spans="26:28" ht="16.5" customHeight="1">
      <c r="Z924" s="1"/>
      <c r="AA924" s="1"/>
      <c r="AB924" s="1"/>
    </row>
    <row r="925" spans="26:28" ht="16.5" customHeight="1">
      <c r="Z925" s="1"/>
      <c r="AA925" s="1"/>
      <c r="AB925" s="1"/>
    </row>
    <row r="926" spans="26:28" ht="16.5" customHeight="1">
      <c r="Z926" s="1"/>
      <c r="AA926" s="1"/>
      <c r="AB926" s="1"/>
    </row>
    <row r="927" spans="26:28" ht="16.5" customHeight="1">
      <c r="Z927" s="1"/>
      <c r="AA927" s="1"/>
      <c r="AB927" s="1"/>
    </row>
    <row r="928" spans="26:28" ht="16.5" customHeight="1">
      <c r="Z928" s="1"/>
      <c r="AA928" s="1"/>
      <c r="AB928" s="1"/>
    </row>
    <row r="929" spans="26:28" ht="16.5" customHeight="1">
      <c r="Z929" s="1"/>
      <c r="AA929" s="1"/>
      <c r="AB929" s="1"/>
    </row>
    <row r="930" spans="26:28" ht="16.5" customHeight="1">
      <c r="Z930" s="1"/>
      <c r="AA930" s="1"/>
      <c r="AB930" s="1"/>
    </row>
    <row r="931" spans="26:28" ht="16.5" customHeight="1">
      <c r="Z931" s="1"/>
      <c r="AA931" s="1"/>
      <c r="AB931" s="1"/>
    </row>
    <row r="932" spans="26:28" ht="16.5" customHeight="1">
      <c r="Z932" s="1"/>
      <c r="AA932" s="1"/>
      <c r="AB932" s="1"/>
    </row>
    <row r="933" spans="26:28" ht="16.5" customHeight="1">
      <c r="Z933" s="1"/>
      <c r="AA933" s="1"/>
      <c r="AB933" s="1"/>
    </row>
    <row r="934" spans="26:28" ht="16.5" customHeight="1">
      <c r="Z934" s="1"/>
      <c r="AA934" s="1"/>
      <c r="AB934" s="1"/>
    </row>
    <row r="935" spans="26:28" ht="16.5" customHeight="1">
      <c r="Z935" s="1"/>
      <c r="AA935" s="1"/>
      <c r="AB935" s="1"/>
    </row>
    <row r="936" spans="26:28" ht="16.5" customHeight="1">
      <c r="Z936" s="1"/>
      <c r="AA936" s="1"/>
      <c r="AB936" s="1"/>
    </row>
    <row r="937" spans="26:28" ht="16.5" customHeight="1">
      <c r="Z937" s="1"/>
      <c r="AA937" s="1"/>
      <c r="AB937" s="1"/>
    </row>
    <row r="938" spans="26:28" ht="16.5" customHeight="1">
      <c r="Z938" s="1"/>
      <c r="AA938" s="1"/>
      <c r="AB938" s="1"/>
    </row>
    <row r="939" spans="26:28" ht="16.5" customHeight="1">
      <c r="Z939" s="1"/>
      <c r="AA939" s="1"/>
      <c r="AB939" s="1"/>
    </row>
    <row r="940" spans="26:28" ht="16.5" customHeight="1">
      <c r="Z940" s="1"/>
      <c r="AA940" s="1"/>
      <c r="AB940" s="1"/>
    </row>
    <row r="941" spans="26:28" ht="16.5" customHeight="1">
      <c r="Z941" s="1"/>
      <c r="AA941" s="1"/>
      <c r="AB941" s="1"/>
    </row>
    <row r="942" spans="26:28" ht="16.5" customHeight="1">
      <c r="Z942" s="1"/>
      <c r="AA942" s="1"/>
      <c r="AB942" s="1"/>
    </row>
    <row r="943" spans="26:28" ht="16.5" customHeight="1">
      <c r="Z943" s="1"/>
      <c r="AA943" s="1"/>
      <c r="AB943" s="1"/>
    </row>
    <row r="944" spans="26:28" ht="16.5" customHeight="1">
      <c r="Z944" s="1"/>
      <c r="AA944" s="1"/>
      <c r="AB944" s="1"/>
    </row>
    <row r="945" spans="26:28" ht="16.5" customHeight="1">
      <c r="Z945" s="1"/>
      <c r="AA945" s="1"/>
      <c r="AB945" s="1"/>
    </row>
    <row r="946" spans="26:28" ht="16.5" customHeight="1">
      <c r="Z946" s="1"/>
      <c r="AA946" s="1"/>
      <c r="AB946" s="1"/>
    </row>
    <row r="947" spans="26:28" ht="16.5" customHeight="1">
      <c r="Z947" s="1"/>
      <c r="AA947" s="1"/>
      <c r="AB947" s="1"/>
    </row>
    <row r="948" spans="26:28" ht="16.5" customHeight="1">
      <c r="Z948" s="1"/>
      <c r="AA948" s="1"/>
      <c r="AB948" s="1"/>
    </row>
    <row r="949" spans="26:28" ht="16.5" customHeight="1">
      <c r="Z949" s="1"/>
      <c r="AA949" s="1"/>
      <c r="AB949" s="1"/>
    </row>
    <row r="950" spans="26:28" ht="16.5" customHeight="1">
      <c r="Z950" s="1"/>
      <c r="AA950" s="1"/>
      <c r="AB950" s="1"/>
    </row>
    <row r="951" spans="26:28" ht="16.5" customHeight="1">
      <c r="Z951" s="1"/>
      <c r="AA951" s="1"/>
      <c r="AB951" s="1"/>
    </row>
    <row r="952" spans="26:28" ht="16.5" customHeight="1">
      <c r="Z952" s="1"/>
      <c r="AA952" s="1"/>
      <c r="AB952" s="1"/>
    </row>
    <row r="953" spans="26:28" ht="16.5" customHeight="1">
      <c r="Z953" s="1"/>
      <c r="AA953" s="1"/>
      <c r="AB953" s="1"/>
    </row>
    <row r="954" spans="26:28" ht="16.5" customHeight="1">
      <c r="Z954" s="1"/>
      <c r="AA954" s="1"/>
      <c r="AB954" s="1"/>
    </row>
    <row r="955" spans="26:28" ht="16.5" customHeight="1">
      <c r="Z955" s="1"/>
      <c r="AA955" s="1"/>
      <c r="AB955" s="1"/>
    </row>
    <row r="956" spans="26:28" ht="16.5" customHeight="1">
      <c r="Z956" s="1"/>
      <c r="AA956" s="1"/>
      <c r="AB956" s="1"/>
    </row>
    <row r="957" spans="26:28" ht="16.5" customHeight="1">
      <c r="Z957" s="1"/>
      <c r="AA957" s="1"/>
      <c r="AB957" s="1"/>
    </row>
    <row r="958" spans="26:28" ht="16.5" customHeight="1">
      <c r="Z958" s="1"/>
      <c r="AA958" s="1"/>
      <c r="AB958" s="1"/>
    </row>
    <row r="959" spans="26:28" ht="16.5" customHeight="1">
      <c r="Z959" s="1"/>
      <c r="AA959" s="1"/>
      <c r="AB959" s="1"/>
    </row>
    <row r="960" spans="26:28" ht="16.5" customHeight="1">
      <c r="Z960" s="1"/>
      <c r="AA960" s="1"/>
      <c r="AB960" s="1"/>
    </row>
    <row r="961" spans="26:28" ht="16.5" customHeight="1">
      <c r="Z961" s="1"/>
      <c r="AA961" s="1"/>
      <c r="AB961" s="1"/>
    </row>
    <row r="962" spans="26:28" ht="16.5" customHeight="1">
      <c r="Z962" s="1"/>
      <c r="AA962" s="1"/>
      <c r="AB962" s="1"/>
    </row>
    <row r="963" spans="26:28" ht="16.5" customHeight="1">
      <c r="Z963" s="1"/>
      <c r="AA963" s="1"/>
      <c r="AB963" s="1"/>
    </row>
    <row r="964" spans="26:28" ht="16.5" customHeight="1">
      <c r="Z964" s="1"/>
      <c r="AA964" s="1"/>
      <c r="AB964" s="1"/>
    </row>
    <row r="965" spans="26:28" ht="16.5" customHeight="1">
      <c r="Z965" s="1"/>
      <c r="AA965" s="1"/>
      <c r="AB965" s="1"/>
    </row>
    <row r="966" spans="26:28" ht="16.5" customHeight="1">
      <c r="Z966" s="1"/>
      <c r="AA966" s="1"/>
      <c r="AB966" s="1"/>
    </row>
    <row r="967" spans="26:28" ht="16.5" customHeight="1">
      <c r="Z967" s="1"/>
      <c r="AA967" s="1"/>
      <c r="AB967" s="1"/>
    </row>
    <row r="968" spans="26:28" ht="16.5" customHeight="1">
      <c r="Z968" s="1"/>
      <c r="AA968" s="1"/>
      <c r="AB968" s="1"/>
    </row>
    <row r="969" spans="26:28" ht="16.5" customHeight="1">
      <c r="Z969" s="1"/>
      <c r="AA969" s="1"/>
      <c r="AB969" s="1"/>
    </row>
    <row r="970" spans="26:28" ht="16.5" customHeight="1">
      <c r="Z970" s="1"/>
      <c r="AA970" s="1"/>
      <c r="AB970" s="1"/>
    </row>
    <row r="971" spans="26:28" ht="16.5" customHeight="1">
      <c r="Z971" s="1"/>
      <c r="AA971" s="1"/>
      <c r="AB971" s="1"/>
    </row>
    <row r="972" spans="26:28" ht="16.5" customHeight="1">
      <c r="Z972" s="1"/>
      <c r="AA972" s="1"/>
      <c r="AB972" s="1"/>
    </row>
    <row r="973" spans="26:28" ht="16.5" customHeight="1">
      <c r="Z973" s="1"/>
      <c r="AA973" s="1"/>
      <c r="AB973" s="1"/>
    </row>
    <row r="974" spans="26:28" ht="16.5" customHeight="1">
      <c r="Z974" s="1"/>
      <c r="AA974" s="1"/>
      <c r="AB974" s="1"/>
    </row>
    <row r="975" spans="26:28" ht="16.5" customHeight="1">
      <c r="Z975" s="1"/>
      <c r="AA975" s="1"/>
      <c r="AB975" s="1"/>
    </row>
    <row r="976" spans="26:28" ht="16.5" customHeight="1">
      <c r="Z976" s="1"/>
      <c r="AA976" s="1"/>
      <c r="AB976" s="1"/>
    </row>
    <row r="977" spans="26:28" ht="16.5" customHeight="1">
      <c r="Z977" s="1"/>
      <c r="AA977" s="1"/>
      <c r="AB977" s="1"/>
    </row>
    <row r="978" spans="26:28" ht="16.5" customHeight="1">
      <c r="Z978" s="1"/>
      <c r="AA978" s="1"/>
      <c r="AB978" s="1"/>
    </row>
    <row r="979" spans="26:28" ht="16.5" customHeight="1">
      <c r="Z979" s="1"/>
      <c r="AA979" s="1"/>
      <c r="AB979" s="1"/>
    </row>
    <row r="980" spans="26:28" ht="16.5" customHeight="1">
      <c r="Z980" s="1"/>
      <c r="AA980" s="1"/>
      <c r="AB980" s="1"/>
    </row>
    <row r="981" spans="26:28" ht="16.5" customHeight="1">
      <c r="Z981" s="1"/>
      <c r="AA981" s="1"/>
      <c r="AB981" s="1"/>
    </row>
    <row r="982" spans="26:28" ht="16.5" customHeight="1">
      <c r="Z982" s="1"/>
      <c r="AA982" s="1"/>
      <c r="AB982" s="1"/>
    </row>
    <row r="983" spans="26:28" ht="16.5" customHeight="1">
      <c r="Z983" s="1"/>
      <c r="AA983" s="1"/>
      <c r="AB983" s="1"/>
    </row>
    <row r="984" spans="26:28" ht="16.5" customHeight="1">
      <c r="Z984" s="1"/>
      <c r="AA984" s="1"/>
      <c r="AB984" s="1"/>
    </row>
    <row r="985" spans="26:28" ht="16.5" customHeight="1">
      <c r="Z985" s="1"/>
      <c r="AA985" s="1"/>
      <c r="AB985" s="1"/>
    </row>
    <row r="986" spans="26:28" ht="16.5" customHeight="1">
      <c r="Z986" s="1"/>
      <c r="AA986" s="1"/>
      <c r="AB986" s="1"/>
    </row>
    <row r="987" spans="26:28" ht="16.5" customHeight="1">
      <c r="Z987" s="1"/>
      <c r="AA987" s="1"/>
      <c r="AB987" s="1"/>
    </row>
    <row r="988" spans="26:28" ht="16.5" customHeight="1">
      <c r="Z988" s="1"/>
      <c r="AA988" s="1"/>
      <c r="AB988" s="1"/>
    </row>
    <row r="989" spans="26:28" ht="16.5" customHeight="1">
      <c r="Z989" s="1"/>
      <c r="AA989" s="1"/>
      <c r="AB989" s="1"/>
    </row>
    <row r="990" spans="26:28" ht="16.5" customHeight="1">
      <c r="Z990" s="1"/>
      <c r="AA990" s="1"/>
      <c r="AB990" s="1"/>
    </row>
    <row r="991" spans="26:28" ht="16.5" customHeight="1">
      <c r="Z991" s="1"/>
      <c r="AA991" s="1"/>
      <c r="AB991" s="1"/>
    </row>
    <row r="992" spans="26:28" ht="16.5" customHeight="1">
      <c r="Z992" s="1"/>
      <c r="AA992" s="1"/>
      <c r="AB992" s="1"/>
    </row>
    <row r="993" spans="26:28" ht="16.5" customHeight="1">
      <c r="Z993" s="1"/>
      <c r="AA993" s="1"/>
      <c r="AB993" s="1"/>
    </row>
    <row r="994" spans="26:28" ht="16.5" customHeight="1">
      <c r="Z994" s="1"/>
      <c r="AA994" s="1"/>
      <c r="AB994" s="1"/>
    </row>
    <row r="995" spans="26:28" ht="16.5" customHeight="1">
      <c r="Z995" s="1"/>
      <c r="AA995" s="1"/>
      <c r="AB995" s="1"/>
    </row>
    <row r="996" spans="26:28" ht="16.5" customHeight="1">
      <c r="Z996" s="1"/>
      <c r="AA996" s="1"/>
      <c r="AB996" s="1"/>
    </row>
    <row r="997" spans="26:28" ht="16.5" customHeight="1">
      <c r="Z997" s="1"/>
      <c r="AA997" s="1"/>
      <c r="AB997" s="1"/>
    </row>
    <row r="998" spans="26:28" ht="16.5" customHeight="1">
      <c r="Z998" s="1"/>
      <c r="AA998" s="1"/>
      <c r="AB998" s="1"/>
    </row>
    <row r="999" spans="26:28" ht="16.5" customHeight="1">
      <c r="Z999" s="1"/>
      <c r="AA999" s="1"/>
      <c r="AB999" s="1"/>
    </row>
    <row r="1000" spans="26:28" ht="16.5" customHeight="1">
      <c r="Z1000" s="1"/>
      <c r="AA1000" s="1"/>
      <c r="AB1000" s="1"/>
    </row>
    <row r="1001" spans="26:28" ht="16.5" customHeight="1">
      <c r="Z1001" s="1"/>
      <c r="AA1001" s="1"/>
      <c r="AB1001" s="1"/>
    </row>
  </sheetData>
  <mergeCells count="12">
    <mergeCell ref="L5:M5"/>
    <mergeCell ref="N5:O5"/>
    <mergeCell ref="B5:C5"/>
    <mergeCell ref="D5:E5"/>
    <mergeCell ref="F5:G5"/>
    <mergeCell ref="H5:I5"/>
    <mergeCell ref="J5:K5"/>
    <mergeCell ref="P5:Q5"/>
    <mergeCell ref="R5:S5"/>
    <mergeCell ref="T5:U5"/>
    <mergeCell ref="V5:W5"/>
    <mergeCell ref="X5:Y5"/>
  </mergeCells>
  <pageMargins left="0.7" right="0.7" top="0.75" bottom="0.75" header="0" footer="0"/>
  <pageSetup paperSize="9" scale="52" fitToHeight="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7CBDE793209346BA5C5E4985615B85" ma:contentTypeVersion="16" ma:contentTypeDescription="Create a new document." ma:contentTypeScope="" ma:versionID="711f52df9ad116183639231ea7a4b58f">
  <xsd:schema xmlns:xsd="http://www.w3.org/2001/XMLSchema" xmlns:xs="http://www.w3.org/2001/XMLSchema" xmlns:p="http://schemas.microsoft.com/office/2006/metadata/properties" xmlns:ns2="371e270d-6386-410b-8023-d75f489036aa" xmlns:ns3="5e4f3e35-34e4-4880-bbc8-2915e1282bb9" targetNamespace="http://schemas.microsoft.com/office/2006/metadata/properties" ma:root="true" ma:fieldsID="953b0eef5a7241e229b811c3329bc55f" ns2:_="" ns3:_="">
    <xsd:import namespace="371e270d-6386-410b-8023-d75f489036aa"/>
    <xsd:import namespace="5e4f3e35-34e4-4880-bbc8-2915e1282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e270d-6386-410b-8023-d75f48903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f55caac-09a7-4a19-a162-61181ae27e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f3e35-34e4-4880-bbc8-2915e1282bb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429c691-2e98-4a51-8232-4ce66a988193}" ma:internalName="TaxCatchAll" ma:showField="CatchAllData" ma:web="5e4f3e35-34e4-4880-bbc8-2915e1282b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4f3e35-34e4-4880-bbc8-2915e1282bb9" xsi:nil="true"/>
    <lcf76f155ced4ddcb4097134ff3c332f xmlns="371e270d-6386-410b-8023-d75f489036aa">
      <Terms xmlns="http://schemas.microsoft.com/office/infopath/2007/PartnerControls"/>
    </lcf76f155ced4ddcb4097134ff3c332f>
    <MediaLengthInSeconds xmlns="371e270d-6386-410b-8023-d75f489036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B4179-4EC7-4262-BDF4-BFBC204B5F72}"/>
</file>

<file path=customXml/itemProps2.xml><?xml version="1.0" encoding="utf-8"?>
<ds:datastoreItem xmlns:ds="http://schemas.openxmlformats.org/officeDocument/2006/customXml" ds:itemID="{E2492CCC-EEAA-44E0-886A-E04E11960C75}"/>
</file>

<file path=customXml/itemProps3.xml><?xml version="1.0" encoding="utf-8"?>
<ds:datastoreItem xmlns:ds="http://schemas.openxmlformats.org/officeDocument/2006/customXml" ds:itemID="{801570CA-ADAA-4093-8376-A42ED72D4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ABJC</dc:creator>
  <cp:keywords/>
  <dc:description/>
  <cp:lastModifiedBy>Rob Drower</cp:lastModifiedBy>
  <cp:revision/>
  <dcterms:created xsi:type="dcterms:W3CDTF">2015-06-24T19:29:31Z</dcterms:created>
  <dcterms:modified xsi:type="dcterms:W3CDTF">2025-04-16T05:06:43Z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0x010100247CBDE793209346BA5C5E4985615B85</vt:lpwstr>
  </property>
  <property fmtid="{D5CDD505-2E9C-101B-9397-08002B2CF9AE}" pid="3" name="Order">
    <vt:r8>1460600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